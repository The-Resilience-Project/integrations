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iannewmarch/Documents/2027 New Schools/"/>
    </mc:Choice>
  </mc:AlternateContent>
  <xr:revisionPtr revIDLastSave="0" documentId="13_ncr:1_{DBDC30E0-CF4C-D949-A753-DB54A8251C57}" xr6:coauthVersionLast="47" xr6:coauthVersionMax="47" xr10:uidLastSave="{00000000-0000-0000-0000-000000000000}"/>
  <bookViews>
    <workbookView xWindow="1200" yWindow="600" windowWidth="36000" windowHeight="21000" activeTab="8" xr2:uid="{79E5DB33-870A-EA4C-8D5D-AF0236890E77}"/>
  </bookViews>
  <sheets>
    <sheet name="Overview" sheetId="1" r:id="rId1"/>
    <sheet name="TC-01 Bulk Upload" sheetId="7" r:id="rId2"/>
    <sheet name="TC-02 Enquiry" sheetId="2" r:id="rId3"/>
    <sheet name="TC-03 More Info" sheetId="3" r:id="rId4"/>
    <sheet name="TC-04 Conference" sheetId="5" r:id="rId5"/>
    <sheet name="TC-05 Conference Enquiry" sheetId="10" r:id="rId6"/>
    <sheet name="TC-06 Teacher Seminar" sheetId="6" r:id="rId7"/>
    <sheet name="TC-07 Live Info" sheetId="4" r:id="rId8"/>
    <sheet name="XC-01 Enquiry Prospect Flow" sheetId="8" r:id="rId9"/>
    <sheet name="XC-02 Lead Flow" sheetId="9" r:id="rId10"/>
  </sheets>
  <definedNames>
    <definedName name="_xlnm._FilterDatabase" localSheetId="2" hidden="1">'TC-02 Enquiry'!$A$1:$I$1</definedName>
    <definedName name="_xlnm._FilterDatabase" localSheetId="8" hidden="1">'XC-01 Enquiry Prospect Flow'!$A$1:$I$1</definedName>
    <definedName name="_xlnm._FilterDatabase" localSheetId="9" hidden="1">'XC-02 Lead Flow'!$A$1:$I$1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3" l="1"/>
  <c r="A14" i="3"/>
  <c r="A13" i="3"/>
  <c r="A12" i="3"/>
  <c r="A18" i="2"/>
  <c r="A17" i="2"/>
  <c r="A16" i="2"/>
  <c r="A15" i="2"/>
  <c r="A14" i="2"/>
  <c r="A13" i="2"/>
  <c r="A12" i="2"/>
  <c r="B10" i="1"/>
  <c r="L17" i="1"/>
  <c r="L16" i="1"/>
  <c r="L15" i="1"/>
  <c r="L14" i="1"/>
  <c r="L13" i="1"/>
  <c r="L12" i="1"/>
  <c r="L11" i="1"/>
  <c r="L10" i="1"/>
  <c r="L9" i="1"/>
  <c r="A11" i="10"/>
  <c r="A10" i="10"/>
  <c r="A9" i="10"/>
  <c r="A8" i="10"/>
  <c r="A7" i="10"/>
  <c r="A6" i="10"/>
  <c r="A5" i="10"/>
  <c r="A4" i="10"/>
  <c r="A3" i="10"/>
  <c r="A2" i="10"/>
  <c r="I12" i="10"/>
  <c r="I12" i="4"/>
  <c r="A11" i="4"/>
  <c r="A10" i="4"/>
  <c r="A9" i="4"/>
  <c r="A8" i="4"/>
  <c r="A7" i="4"/>
  <c r="A6" i="4"/>
  <c r="A5" i="4"/>
  <c r="A4" i="4"/>
  <c r="A3" i="4"/>
  <c r="A2" i="4"/>
  <c r="I12" i="6"/>
  <c r="A11" i="6"/>
  <c r="A10" i="6"/>
  <c r="A9" i="6"/>
  <c r="A8" i="6"/>
  <c r="A7" i="6"/>
  <c r="A6" i="6"/>
  <c r="A5" i="6"/>
  <c r="A4" i="6"/>
  <c r="A3" i="6"/>
  <c r="A2" i="6"/>
  <c r="I12" i="5"/>
  <c r="A11" i="5"/>
  <c r="A10" i="5"/>
  <c r="A9" i="5"/>
  <c r="A8" i="5"/>
  <c r="A7" i="5"/>
  <c r="A6" i="5"/>
  <c r="A5" i="5"/>
  <c r="A4" i="5"/>
  <c r="A3" i="5"/>
  <c r="A2" i="5"/>
  <c r="I16" i="3"/>
  <c r="A11" i="3"/>
  <c r="A10" i="3"/>
  <c r="A9" i="3"/>
  <c r="A8" i="3"/>
  <c r="A7" i="3"/>
  <c r="A6" i="3"/>
  <c r="A5" i="3"/>
  <c r="A4" i="3"/>
  <c r="A3" i="3"/>
  <c r="A2" i="3"/>
  <c r="G16" i="3" s="1"/>
  <c r="A9" i="7"/>
  <c r="A8" i="7"/>
  <c r="A7" i="7"/>
  <c r="A6" i="7"/>
  <c r="A5" i="7"/>
  <c r="A4" i="7"/>
  <c r="A3" i="7"/>
  <c r="A2" i="7"/>
  <c r="A11" i="9"/>
  <c r="A10" i="9"/>
  <c r="A9" i="9"/>
  <c r="A8" i="9"/>
  <c r="A7" i="9"/>
  <c r="A6" i="9"/>
  <c r="A5" i="9"/>
  <c r="A4" i="9"/>
  <c r="A3" i="9"/>
  <c r="A2" i="9"/>
  <c r="B17" i="1" s="1"/>
  <c r="A11" i="8"/>
  <c r="A10" i="8"/>
  <c r="A9" i="8"/>
  <c r="A8" i="8"/>
  <c r="A7" i="8"/>
  <c r="A6" i="8"/>
  <c r="A5" i="8"/>
  <c r="A4" i="8"/>
  <c r="A3" i="8"/>
  <c r="A2" i="8"/>
  <c r="B16" i="1" s="1"/>
  <c r="I12" i="9"/>
  <c r="I12" i="8"/>
  <c r="A10" i="2"/>
  <c r="G19" i="2"/>
  <c r="I19" i="2"/>
  <c r="A7" i="2"/>
  <c r="A8" i="2"/>
  <c r="A9" i="2"/>
  <c r="A11" i="2"/>
  <c r="A5" i="2"/>
  <c r="A4" i="2"/>
  <c r="A3" i="2"/>
  <c r="A6" i="2"/>
  <c r="A2" i="2"/>
  <c r="B9" i="1" l="1"/>
  <c r="B14" i="1"/>
  <c r="B11" i="1"/>
  <c r="G12" i="6"/>
  <c r="B13" i="1"/>
  <c r="G12" i="10"/>
  <c r="G12" i="4"/>
  <c r="B15" i="1"/>
  <c r="G12" i="5"/>
  <c r="B12" i="1"/>
  <c r="A6" i="1"/>
  <c r="E10" i="1"/>
  <c r="N10" i="1" s="1"/>
  <c r="F10" i="1"/>
  <c r="O10" i="1" s="1"/>
  <c r="D10" i="1"/>
  <c r="G10" i="7"/>
  <c r="G12" i="9"/>
  <c r="G12" i="8"/>
  <c r="F9" i="1" l="1"/>
  <c r="D9" i="1"/>
  <c r="E9" i="1"/>
  <c r="F14" i="1"/>
  <c r="O14" i="1" s="1"/>
  <c r="D14" i="1"/>
  <c r="E14" i="1"/>
  <c r="N14" i="1" s="1"/>
  <c r="E11" i="1"/>
  <c r="N11" i="1" s="1"/>
  <c r="D11" i="1"/>
  <c r="F11" i="1"/>
  <c r="O11" i="1" s="1"/>
  <c r="F13" i="1"/>
  <c r="O13" i="1" s="1"/>
  <c r="D13" i="1"/>
  <c r="E13" i="1"/>
  <c r="N13" i="1" s="1"/>
  <c r="D15" i="1"/>
  <c r="F15" i="1"/>
  <c r="O15" i="1" s="1"/>
  <c r="E15" i="1"/>
  <c r="N15" i="1" s="1"/>
  <c r="E12" i="1"/>
  <c r="N12" i="1" s="1"/>
  <c r="D12" i="1"/>
  <c r="F12" i="1"/>
  <c r="O12" i="1" s="1"/>
  <c r="B18" i="1"/>
  <c r="F6" i="1"/>
  <c r="C6" i="1"/>
  <c r="E6" i="1"/>
  <c r="M10" i="1"/>
  <c r="G10" i="1"/>
  <c r="P10" i="1" s="1"/>
  <c r="I10" i="1"/>
  <c r="J10" i="1" s="1"/>
  <c r="H10" i="1"/>
  <c r="F17" i="1"/>
  <c r="O17" i="1" s="1"/>
  <c r="D17" i="1"/>
  <c r="E17" i="1"/>
  <c r="N17" i="1" s="1"/>
  <c r="E16" i="1"/>
  <c r="N16" i="1" s="1"/>
  <c r="D16" i="1"/>
  <c r="F16" i="1"/>
  <c r="O16" i="1" s="1"/>
  <c r="I9" i="1" l="1"/>
  <c r="J9" i="1" s="1"/>
  <c r="G9" i="1"/>
  <c r="H9" i="1"/>
  <c r="M15" i="1"/>
  <c r="G15" i="1"/>
  <c r="P15" i="1" s="1"/>
  <c r="H15" i="1"/>
  <c r="I15" i="1"/>
  <c r="J15" i="1" s="1"/>
  <c r="I14" i="1"/>
  <c r="J14" i="1" s="1"/>
  <c r="G14" i="1"/>
  <c r="P14" i="1" s="1"/>
  <c r="H14" i="1"/>
  <c r="M14" i="1"/>
  <c r="I11" i="1"/>
  <c r="J11" i="1" s="1"/>
  <c r="H11" i="1"/>
  <c r="G11" i="1"/>
  <c r="P11" i="1" s="1"/>
  <c r="M11" i="1"/>
  <c r="N9" i="1"/>
  <c r="E18" i="1"/>
  <c r="D18" i="1"/>
  <c r="M9" i="1"/>
  <c r="F18" i="1"/>
  <c r="O9" i="1"/>
  <c r="H17" i="1"/>
  <c r="I17" i="1"/>
  <c r="J17" i="1" s="1"/>
  <c r="G17" i="1"/>
  <c r="P17" i="1" s="1"/>
  <c r="M17" i="1"/>
  <c r="I16" i="1"/>
  <c r="J16" i="1" s="1"/>
  <c r="G16" i="1"/>
  <c r="P16" i="1" s="1"/>
  <c r="H16" i="1"/>
  <c r="M16" i="1"/>
  <c r="M13" i="1"/>
  <c r="H13" i="1"/>
  <c r="G13" i="1"/>
  <c r="P13" i="1" s="1"/>
  <c r="I13" i="1"/>
  <c r="J13" i="1" s="1"/>
  <c r="M12" i="1"/>
  <c r="G12" i="1"/>
  <c r="P12" i="1" s="1"/>
  <c r="I12" i="1"/>
  <c r="J12" i="1" s="1"/>
  <c r="H12" i="1"/>
  <c r="G6" i="1"/>
  <c r="H6" i="1"/>
  <c r="J6" i="1"/>
  <c r="G18" i="1" l="1"/>
  <c r="P9" i="1"/>
  <c r="I18" i="1"/>
  <c r="J18" i="1" s="1"/>
</calcChain>
</file>

<file path=xl/sharedStrings.xml><?xml version="1.0" encoding="utf-8"?>
<sst xmlns="http://schemas.openxmlformats.org/spreadsheetml/2006/main" count="396" uniqueCount="252">
  <si>
    <t>Test Case ID</t>
  </si>
  <si>
    <t>Feature / Scenario</t>
  </si>
  <si>
    <t>Pre-conditions</t>
  </si>
  <si>
    <t>Test Steps</t>
  </si>
  <si>
    <t>Expected Result</t>
  </si>
  <si>
    <t>Actual Result</t>
  </si>
  <si>
    <t>Pass / Fail</t>
  </si>
  <si>
    <t>Type (New/Regression)</t>
  </si>
  <si>
    <t>Notes / Questions</t>
  </si>
  <si>
    <t>2027 New Schools Campaign — Test Plan Dashboard</t>
  </si>
  <si>
    <t>The Resilience Project  |  Fill in Pass/Fail column (G) on each sheet — this dashboard updates automatically</t>
  </si>
  <si>
    <t>Fail</t>
  </si>
  <si>
    <t>Total</t>
  </si>
  <si>
    <t>TOTAL TESTS</t>
  </si>
  <si>
    <t>PASSED</t>
  </si>
  <si>
    <t>FAILED</t>
  </si>
  <si>
    <t>BLOCKED</t>
  </si>
  <si>
    <t>NOT RUN</t>
  </si>
  <si>
    <t>% COMPLETE</t>
  </si>
  <si>
    <t>PASS RATE</t>
  </si>
  <si>
    <t>Scenario</t>
  </si>
  <si>
    <t>Sheet</t>
  </si>
  <si>
    <t>Passed</t>
  </si>
  <si>
    <t>Failed</t>
  </si>
  <si>
    <t>Blocked</t>
  </si>
  <si>
    <t>Not Run</t>
  </si>
  <si>
    <t>Progress</t>
  </si>
  <si>
    <t>% Complete</t>
  </si>
  <si>
    <t>Status</t>
  </si>
  <si>
    <t>TOTALS</t>
  </si>
  <si>
    <t>How to use</t>
  </si>
  <si>
    <t>2. Execute each test and enter "Pass", "Fail", or "Blocked" in column G</t>
  </si>
  <si>
    <t>3. Dashboard updates automatically. CJ references map to Phase 1 customer journeys.</t>
  </si>
  <si>
    <t>TC-02 Enquiry</t>
  </si>
  <si>
    <t>1. Bulk Upload - Proactive Prospects</t>
  </si>
  <si>
    <t>TC-01 Bulk Upload</t>
  </si>
  <si>
    <t>2. Enquiry Process — "Chat to us" (CJ1)</t>
  </si>
  <si>
    <t>3. More Information Form - &gt;=500 &amp; &lt;500 (CJ1/CJ3a)</t>
  </si>
  <si>
    <t>4. Conferences — Delegates, Prize Pack (CJ2b)</t>
  </si>
  <si>
    <t>XC-02 Lead Flow</t>
  </si>
  <si>
    <t>TC-04 Conference</t>
  </si>
  <si>
    <t>TC-03 More Info</t>
  </si>
  <si>
    <t>1. Go to each test case sheet (TC-01 through XC-02)</t>
  </si>
  <si>
    <t>5. Conferences - Enquiry (CJ3c)</t>
  </si>
  <si>
    <t>6. Teacher Seminar — Attendance (CJ3b)</t>
  </si>
  <si>
    <t>7. Live Info Session — Registration (CJ3a/3b)</t>
  </si>
  <si>
    <t>8. XC-01. Prospect Flow &gt;= 500 (Cross Cutting)</t>
  </si>
  <si>
    <t>9. XC-02. Lead Flow &lt;500 (Cross Cutting)</t>
  </si>
  <si>
    <t>TC-07 Live Info</t>
  </si>
  <si>
    <t>TC-06 Teacher Seminar</t>
  </si>
  <si>
    <t>TC-05 Conference Enquiry</t>
  </si>
  <si>
    <t>Excel Upload — File Structure Validation</t>
  </si>
  <si>
    <t>Excel file prepared with columns: SchoolID, ContactID, Assignee, Expected Close Date, School Type (School New / School Existing)</t>
  </si>
  <si>
    <t>1. Open upload script
2. Select the prepared Excel file
3. Verify file is accepted without errors</t>
  </si>
  <si>
    <t>Script accepts the file and displays column mapping confirmation. All required columns are recognised.</t>
  </si>
  <si>
    <t>New</t>
  </si>
  <si>
    <t>Single Record Upload — Test Mode</t>
  </si>
  <si>
    <t>Excel file with at least 1 valid record. Script in single-record test mode.</t>
  </si>
  <si>
    <t>Single Record — Deal Field Mapping</t>
  </si>
  <si>
    <t>Single test record uploaded successfully (BU-002 passed).</t>
  </si>
  <si>
    <t>Single Record — Proactive Tag</t>
  </si>
  <si>
    <t>Full Batch Upload — All Records</t>
  </si>
  <si>
    <t>Excel file with all school records. Single record test passed (BU-002 to BU-004).</t>
  </si>
  <si>
    <t>1. Select 'Upload all records' option in script
2. Run the full batch upload
3. Wait for script completion
4. Note total records processed</t>
  </si>
  <si>
    <t>Script completes without errors. Number of deals created matches the number of rows in the Excel file.</t>
  </si>
  <si>
    <t>Full Batch — Record Count Verification</t>
  </si>
  <si>
    <t>Full batch upload completed (BU-005 passed).</t>
  </si>
  <si>
    <t>Full Batch — Spot Check Field Mapping</t>
  </si>
  <si>
    <t>1. Select 3–5 random deals from the batch
2. Cross-reference each against the original Excel row
3. Verify: Deal Name, Status, Assignee, Expected Close Date, School Type, Proactive tag</t>
  </si>
  <si>
    <t>Full Batch — School Type Handling</t>
  </si>
  <si>
    <t>Full batch upload completed (BU-005 passed). Excel contains both 'School New' and 'School Existing' records.</t>
  </si>
  <si>
    <t>1. Filter CRM deals by School Type = 'School New'
2. Filter CRM deals by School Type = 'School Existing'
3. Compare counts to Excel file</t>
  </si>
  <si>
    <t>School New count in CRM matches count of 'School New' rows in Excel.
School Existing count in CRM matches count of 'School Existing' rows in Excel.</t>
  </si>
  <si>
    <t>1. Open the associated Contact record in CRM (using ContactID from Excel)
2. Navigate to Forms Completed section on the Contact
3. Check for Proactive tag</t>
  </si>
  <si>
    <t>Contact is tagged in Forms Completed with the 'Proactive' tag.</t>
  </si>
  <si>
    <t>1. Open the newly created deal in CRM
2. Verify deal name
3. Verify status
4. Verify Assignee
5. Verify Expected Close Date
6. Verify School Type
7. Open associated Organisation
8. Verify 2027 Confirmation Status</t>
  </si>
  <si>
    <t>Deal name = '2027 School Partnership Program'
Status = NEW
Assignee matches Excel
Expected Close Date matches Excel
School Type = 'School New' or 'School Existing' per Excel
Organisation 2027 Confirmation Status = Prospect</t>
  </si>
  <si>
    <t>All spot-checked deals have correct field mapping:
- Name = '2027 School Partnership Program'
- Status = NEW
- Assignee, Close Date, School Type match Excel
- Associated Contact has Proactive tag in Forms Completed
- Organisation 2027 Confirmation Status = Prospect</t>
  </si>
  <si>
    <t>1. Count total rows in original Excel file (excluding header)
2. In CRM, filter deals where Contact Forms Completed = Proactive
3. Count the filtered results
4. Compare counts</t>
  </si>
  <si>
    <t>Number of deals returned by the Proactive filter = number of data rows in Excel sheet. No duplicates, no missing records.</t>
  </si>
  <si>
    <t>Enquiry Form — Minimum Required Fields</t>
  </si>
  <si>
    <t>Enquiry form is accessible on the website. User is a new contact not in CRM.</t>
  </si>
  <si>
    <t>1. Navigate to the enquiry form
2. Enter First Name
3. Enter Last Name
4. Enter Email
5. Enter Phone
6. Select School (or type school name)
7. Enter Number of Students at School
8. Select State
9. Enter Enquiry message
10. Select 'How did you hear about us'
11. Submit the form</t>
  </si>
  <si>
    <t>Form submits successfully. Confirmation message displayed to the user.</t>
  </si>
  <si>
    <t>Contact Creation — New Contact</t>
  </si>
  <si>
    <t>Enquiry form submitted (ENQ-001 passed). Contact does not exist in CRM.</t>
  </si>
  <si>
    <t>1. Search CRM for the submitted email address
2. Open the Contact record
3. Verify First Name, Last Name, Email, Phone
4. Check Forms Completed tags
5. Check Lead Source field</t>
  </si>
  <si>
    <t>New Contact created with correct First Name, Last Name, Email, Phone.
Forms Completed = 'Enquiry' tag present.
Lead Source matches the 'How did you hear about us' selection.</t>
  </si>
  <si>
    <t>Contact Update — Existing Contact</t>
  </si>
  <si>
    <t>Contact already exists in CRM. Submit enquiry form using existing contact's email.</t>
  </si>
  <si>
    <t>1. Submit enquiry form with an existing contact's email
2. Open the Contact record in CRM
3. Verify fields are updated (not duplicated)
4. Check Forms Completed tags
5. Check Lead Source</t>
  </si>
  <si>
    <t>Existing Contact is updated (not duplicated).
Forms Completed = 'Enquiry' tag added.
Lead Source updated to match 'How did you hear about us'.
First Name, Last Name, Email, Phone reflect latest submission.</t>
  </si>
  <si>
    <t>Organisation — Creation / Update</t>
  </si>
  <si>
    <t>Enquiry form submitted (ENQ-001 passed).</t>
  </si>
  <si>
    <t>Enquiry Record — Creation</t>
  </si>
  <si>
    <t>1. Search CRM for enquiry records linked to the contact
2. Open the Enquiry record
3. Verify status
4. Verify Enquiry Date</t>
  </si>
  <si>
    <t>Enquiry record created.
Status = New Enquiry
Enquiry Date = date of form submission.</t>
  </si>
  <si>
    <t>Deal — Creation</t>
  </si>
  <si>
    <t>1. Search CRM for deals linked to the contact/organisation
2. Open the Deal record
3. Verify deal stage
4. Verify Expected Close Date</t>
  </si>
  <si>
    <t>Assignment — NSW/QLD → Brendan</t>
  </si>
  <si>
    <t>Enquiry form submitted with State = NSW or QLD.</t>
  </si>
  <si>
    <t>1. Submit enquiry form with State = NSW
2. Open the Enquiry record — check Assignee
3. Open the Contact — check Assignee
4. Open the Organisation — check Assignee
5. Open the Deal — check Assignee</t>
  </si>
  <si>
    <t>All records (Enquiry, Contact, Organisation, Deal) are assigned to Brendan.</t>
  </si>
  <si>
    <t>Assignment — Other States → Laura</t>
  </si>
  <si>
    <t>Enquiry form submitted with State ≠ NSW/QLD (e.g. VIC, SA, WA, TAS, NT, ACT).</t>
  </si>
  <si>
    <t>1. Submit enquiry form with State = VIC
2. Open the Enquiry record — check Assignee
3. Open the Contact — check Assignee
4. Open the Organisation — check Assignee
5. Open the Deal — check Assignee</t>
  </si>
  <si>
    <t>All records (Enquiry, Contact, Organisation, Deal) are assigned to Laura.</t>
  </si>
  <si>
    <t>Form Validation — Required Fields Missing</t>
  </si>
  <si>
    <t>Enquiry form is accessible.</t>
  </si>
  <si>
    <t>1. Attempt to submit form with First Name blank
2. Attempt to submit form with Email blank
3. Attempt to submit form with School blank
4. Attempt to submit form with State not selected
5. Attempt to submit form with each required field missing individually</t>
  </si>
  <si>
    <t>Form does not submit. Validation errors displayed for each missing required field. No records created in CRM.</t>
  </si>
  <si>
    <t>School Selection — Type-in vs Select</t>
  </si>
  <si>
    <t>Enquiry form is accessible. CRM has existing schools.</t>
  </si>
  <si>
    <t>1. Submit form selecting an existing school from dropdown
2. Verify Organisation links to correct existing school
3. Submit a second form typing in a new school name
4. Verify new Organisation is created</t>
  </si>
  <si>
    <t>Existing school: Organisation links to the correct existing record (no duplicate).
New school name: New Organisation created with the typed name.
Both: 2027 Confirmation Status = New Prospect, 2026 Sales Event = Enquiry.</t>
  </si>
  <si>
    <t>Deal created at stage = NEW.
Expected Close Date = 2 weeks from today (submission date).</t>
  </si>
  <si>
    <t>Regression</t>
  </si>
  <si>
    <t>Organisation created or updated.
2027 Confirmation Status = New Prospect
Sales Event = Enquiry</t>
  </si>
  <si>
    <t>1. Open the associated Organisation in CRM (linked via School)
2. Check 2027 Confirmation Status
3. Check Sales Event</t>
  </si>
  <si>
    <t>Existing Org — New Assignee (Maddie/Laura/Brendan/Vic) → Deal Created</t>
  </si>
  <si>
    <t>Organisation already exists in vTiger. Current Org Assignee is Maddie, Laura, Brendan, or Vic.</t>
  </si>
  <si>
    <t>1. Submit enquiry form using a school linked to an existing Organisation
2. Verify Org Assignee is one of: Maddie, Laura, Brendan, or Vic
3. Check if a Deal is created
4. Verify Deal stage and Expected Close Date</t>
  </si>
  <si>
    <t>Assignee check: Maddie, Laura, Brendan, Vic = new school pathway</t>
  </si>
  <si>
    <t>Existing Org — Other Assignee → No Deal Created</t>
  </si>
  <si>
    <t>Organisation already exists in vTiger. Current Org Assignee is NOT Maddie, Laura, Brendan, or Vic (e.g. assigned to another user).</t>
  </si>
  <si>
    <t>Existing school pathway — deal suppressed</t>
  </si>
  <si>
    <t>Existing Org — Assignee Boundary Check</t>
  </si>
  <si>
    <t>Two existing Organisations: one assigned to Vic, one assigned to an unrelated user (e.g. Admin).</t>
  </si>
  <si>
    <t>1. Submit enquiry for Org assigned to Vic → verify Deal IS created
2. Submit enquiry for Org assigned to Admin → verify Deal is NOT created
3. Compare both outcomes</t>
  </si>
  <si>
    <t>Side-by-side comparison of both pathways</t>
  </si>
  <si>
    <t>Organisation is treated as EXISTING.
No Deal is created.
Enquiry record created at status = New Enquiry.
Contact updated with Forms Completed = Enquiry tag.
Contact and Enquiry assigned to whoever the Org is currently assigned to (inherits Org assignee).</t>
  </si>
  <si>
    <t>1. Submit enquiry form using a school linked to an existing Organisation
2. Verify Org Assignee is NOT one of: Maddie, Laura, Brendan, or Vic
3. Check that no Deal is created
4. Open the Enquiry record — check Assignee matches Org Assignee
5. Open the Contact — check Assignee matches Org Assignee</t>
  </si>
  <si>
    <t>Vic Org: Deal created (new pathway). Contact and Enquiry assigned per state rules (Brendan or Laura).
Admin Org: No Deal created (existing pathway). Contact and Enquiry assigned to Admin (inherits Org assignee).
Both: Enquiry record created, Contact updated, Org fields updated.</t>
  </si>
  <si>
    <t>Automated Thank You Email — Triggered on Submission</t>
  </si>
  <si>
    <t>Enquiry form submitted successfully (ENQ-001 passed). Valid email address provided.</t>
  </si>
  <si>
    <t>1. Submit enquiry form with valid email
2. Check the email inbox of the submitted address
3. Verify email received
4. Check email content and sender</t>
  </si>
  <si>
    <t>Automated email received with message: 'Thanks for your enquiry. Our team have received it and will get back to you shortly.'
Email sent promptly after submission.</t>
  </si>
  <si>
    <t>Automated Email — Not Sent on Existing Org (No Deal)</t>
  </si>
  <si>
    <t>Enquiry submitted for an existing Org where assignee is not Maddie/Laura/Brendan/Vic (no deal created).</t>
  </si>
  <si>
    <t>1. Submit enquiry for an existing Org (existing pathway)
2. Check email inbox
3. Verify whether automated email is sent</t>
  </si>
  <si>
    <t>Confirm expected behaviour: does the thank you email still send for existing Org enquiries, or only when a deal is created? Document actual behaviour.</t>
  </si>
  <si>
    <t>Clarify expected behaviour with team</t>
  </si>
  <si>
    <t>G&amp;D Manual Tailored Email — Sent to All Enquiries</t>
  </si>
  <si>
    <t>Enquiry submitted and visible in CRM. G&amp;D team member has access.</t>
  </si>
  <si>
    <t>1. G&amp;D team member opens the new Enquiry in CRM
2. Reviews enquiry details and school info
3. Sends a manually tailored email response to the contact
4. Verify email is received by the contact</t>
  </si>
  <si>
    <t>Contact receives a personalised email from G&amp;D.
This is a manual process — verify G&amp;D has visibility of all new enquiries and a workflow/view to action them.</t>
  </si>
  <si>
    <t>Manual process — not automated</t>
  </si>
  <si>
    <t>Prospect Status — Deal Created (New School)</t>
  </si>
  <si>
    <t>Enquiry submitted for a new school. Deal created at stage = NEW (ENQ-006 passed).</t>
  </si>
  <si>
    <t>1. Open the Organisation in CRM
2. Verify 2027 Confirmation Status
3. Open the Deal
4. Verify the contact is now treated as a prospect in the pipeline</t>
  </si>
  <si>
    <t>Organisation 2027 Confirmation Status = New Prospect.
Deal exists at stage = NEW.
Contact is in the sales pipeline as a prospect.</t>
  </si>
  <si>
    <t>Follow-Up Email 1 — 1 Day After Expected Close Date</t>
  </si>
  <si>
    <t>1. Wait until 1 day after the deal Expected Close Date
2. Check contact's email inbox for automated follow-up
3. Verify email content includes CTA to register for Live Info Session
4. Verify email sender and branding</t>
  </si>
  <si>
    <t>Automated follow-up email sent 1 day after Expected Close Date.
Email contains CTA to register for a Live Information Session.
Correct branding and sender.</t>
  </si>
  <si>
    <t>Follow-Up Email 2 — 23 Days After Expected Close Date</t>
  </si>
  <si>
    <t>1. Wait until 23 days after the deal Expected Close Date
2. Check contact's email inbox for second automated follow-up
3. Verify email content includes CTA to register for Live Info Session
4. Verify it is distinct from the first email</t>
  </si>
  <si>
    <t>Second automated follow-up email sent 23 days after Expected Close Date.
Email contains CTA to register for a Live Information Session.
Content is different from the first follow-up.</t>
  </si>
  <si>
    <t>1. Leave deal at stage = NEW
2. Wait past Expected Close Date + 1 day
3. Check contact's email inbox
4. Verify no automated follow-up emails are sent</t>
  </si>
  <si>
    <t>No automated follow-up emails sent.
Workflow only triggers when deal status = In Campaign.</t>
  </si>
  <si>
    <t>Live Info Registration — Sales Event Tagged</t>
  </si>
  <si>
    <t>Organisation 2026 Sales Event = '2026 Live Information Session' (tagged).
Deal remains active (not moved to Dormant).</t>
  </si>
  <si>
    <t>Dormant — No Action After 30 Days Past Close Date</t>
  </si>
  <si>
    <t>Deal status automatically moved to Dormant by workflow.
No manual intervention required.</t>
  </si>
  <si>
    <t>Dormant — Not Triggered If Live Info Registered</t>
  </si>
  <si>
    <t>1. Verify contact registered for Live Info Session
2. Wait until 30+ days after Expected Close Date
3. Check the deal status in CRM</t>
  </si>
  <si>
    <t>Deal is NOT moved to Dormant.
Registration for Live Info Session prevents the dormant workflow from triggering.</t>
  </si>
  <si>
    <t>Prospect Entry — Deal at NEW, G&amp;D Visibility</t>
  </si>
  <si>
    <t>Enquiry submitted for a new school. Deal created at stage = NEW. Assigned to Brendan or Laura per state rules.</t>
  </si>
  <si>
    <t>1. Verify deal exists at stage = NEW
2. Verify Organisation 2027 Confirmation Status = New Prospect
3. Confirm deal is visible in G&amp;D team pipeline/view</t>
  </si>
  <si>
    <t>Deal at NEW stage is visible to G&amp;D team.
Org = New Prospect.
G&amp;D can see all new enquiry deals to action.</t>
  </si>
  <si>
    <t>G&amp;D Manual Email — Sent to All Enquiries</t>
  </si>
  <si>
    <t>Deal at stage = NEW (XC01-001 passed). G&amp;D team member has access.</t>
  </si>
  <si>
    <t>1. G&amp;D team member reviews the enquiry and deal
2. G&amp;D sends a manual tailored email to the contact
3. Verify email is received by the contact
4. Deal status remains at NEW at this point</t>
  </si>
  <si>
    <t>Manual email sent and logged.
Deal status = NEW (unchanged).
Applies to both ≥500 and &lt;500 student schools.</t>
  </si>
  <si>
    <t>≥500 Students — G&amp;D Nurtures, Deal Stays at NEW</t>
  </si>
  <si>
    <t>Deal at stage = NEW for a ≥500 student school. G&amp;D has sent manual email (XC01-002 passed).</t>
  </si>
  <si>
    <t>1. Verify Number of Students ≥ 500
2. Confirm deal status remains at NEW
3. Verify deal is NOT moved to In Campaign
4. Confirm no automated follow-up emails are triggered</t>
  </si>
  <si>
    <t>Deal stays at NEW.
G&amp;D continues to nurture this prospect manually (high-touch).
No automated workflow emails are sent.
Deal does not enter the In Campaign automated flow.</t>
  </si>
  <si>
    <t>&lt;500 Students — G&amp;D Moves Deal to In Campaign</t>
  </si>
  <si>
    <t>Deal at stage = NEW for a &lt;500 student school. G&amp;D has sent manual email (XC01-002 passed).</t>
  </si>
  <si>
    <t>1. Verify Number of Students &lt; 500
2. G&amp;D moves the deal status from NEW → In Campaign
3. Verify deal status in CRM
4. Verify Expected Close Date is still set (xx weeks from enquiry)</t>
  </si>
  <si>
    <t>Deal status = In Campaign.
Expected Close Date unchanged.
This deal now enters the automated follow-up workflow.</t>
  </si>
  <si>
    <t>Deal at status = In Campaign (&lt;500 students). Expected Close Date has passed by 1 day (~2 weeks + 1 day from enquiry).</t>
  </si>
  <si>
    <t>Deal at status = In Campaign. First follow-up sent (XC01-005 passed). 23 days after Expected Close Date (~4 weeks from enquiry).</t>
  </si>
  <si>
    <t>Follow-Up Emails — Not Sent If Deal Not In Campaign</t>
  </si>
  <si>
    <t>Deal exists at stage = NEW (either ≥500 students, or G&amp;D has not yet moved to In Campaign).</t>
  </si>
  <si>
    <t>Contact received follow-up emails with CTA (XC01-005 or XC01-006). Contact clicks CTA and registers for a Live Info Session.</t>
  </si>
  <si>
    <t>1. Contact registers for a Live Information Session via the CTA link
2. Open the Organisation in CRM
3. Check 2026 Sales Event field
4. Verify deal status remains active</t>
  </si>
  <si>
    <t>Deal at status = In Campaign (&lt;500 students). Contact has NOT registered for a Live Info Session. 30+ days past Expected Close Date.</t>
  </si>
  <si>
    <t>1. Wait until 30+ days after the deal Expected Close Date
2. Check the deal status in CRM
3. Verify workflow has triggered automatically</t>
  </si>
  <si>
    <t>Deal at status = In Campaign. Contact HAS registered for a Live Info Session (XC01-008 passed). 30+ days past Expected Close Date.</t>
  </si>
  <si>
    <t>XC-01 Enquiry Prospect Flow</t>
  </si>
  <si>
    <t>More Info Form — Required Fields Submission</t>
  </si>
  <si>
    <t>More Information form is accessible on the website.</t>
  </si>
  <si>
    <t>1. Navigate to the More Information form
2. Enter First Name, Last Name
3. Enter Email, Mobile
4. Enter Role
5. Select School (or type school name if not listed)
6. Select State
7. Enter Number of Students
8. Select 'How did you hear about us'
9. Submit the form</t>
  </si>
  <si>
    <t>Form submits successfully.
User is redirected to the More Information page with CTA to book a meeting.</t>
  </si>
  <si>
    <t>Contact — Creation / Update</t>
  </si>
  <si>
    <t>More Info form submitted (MI-001 passed).</t>
  </si>
  <si>
    <t>1. Search CRM for the submitted email address
2. Open the Contact record
3. Verify First Name, Last Name, Email, Mobile, Role
4. Check Forms Completed tags
5. Check Lead Source</t>
  </si>
  <si>
    <t>Contact created or updated (not duplicated).
Forms Completed = 'More Info' tag present.
Lead Source matches 'How did you hear about us'.
All fields match form submission.</t>
  </si>
  <si>
    <t>1. Open the associated Organisation in CRM
2. Check 2027 Confirmation Status
3. Check 2026 Sales Event
4. Verify school name and linkage</t>
  </si>
  <si>
    <t>Organisation created or updated.
2027 Confirmation Status = ??
2026 Sales Event = ??
School linked correctly.</t>
  </si>
  <si>
    <t>⚠️ TBD: What should the Org status be for More Info submissions? New Prospect? Different from Enquiry?</t>
  </si>
  <si>
    <t>Assignment — NSW/QLD → Brendan, Other → Laura</t>
  </si>
  <si>
    <t>1. Submit form with State = NSW → check Assignee on Contact, Org, Deal (if created)
2. Submit form with State = VIC → check Assignee on Contact, Org</t>
  </si>
  <si>
    <t>NSW/QLD: All records assigned to Brendan.
Other states: All records assigned to Laura.
Same logic as Enquiry flow.</t>
  </si>
  <si>
    <t>≥500 Students — Deal Created at NEW</t>
  </si>
  <si>
    <t>More Info form submitted with Number of Students ≥ 500.</t>
  </si>
  <si>
    <t>1. Verify Number of Students ≥ 500
2. Search CRM for deals linked to the contact/organisation
3. Open the Deal record
4. Verify deal stage
5. Verify Expected Close Date</t>
  </si>
  <si>
    <t>Deal created at stage = NEW.
Expected Close Date = xx weeks from today.
Deal visible to G&amp;D for manual nurture to book a meeting.</t>
  </si>
  <si>
    <t>≥500 Students — Redirect to More Info Page with Meeting CTA</t>
  </si>
  <si>
    <t>More Info form submitted with ≥500 students (MI-005 passed).</t>
  </si>
  <si>
    <t>1. After form submission, observe the redirect
2. Verify landing page content
3. Verify CTA to book a meeting is visible and functional</t>
  </si>
  <si>
    <t>User redirected to More Information page.
Page contains CTA to book a meeting.
CTA link is working.</t>
  </si>
  <si>
    <t>&lt;500 Students — No Deal Created, Contact Fields Updated</t>
  </si>
  <si>
    <t>More Info form submitted with Number of Students &lt; 500.</t>
  </si>
  <si>
    <t>1. Verify Number of Students &lt; 500
2. Search CRM for deals — confirm NO deal is created
3. Open the Contact record
4. Check Life Cycle Stage
5. Check Contact Status
6. Check 'More Info Requested on Date' field</t>
  </si>
  <si>
    <t>No Deal created.
Contact Life Cycle Stage = Lead.
Contact Status = HOT.
More Info Requested on Date = today's date (form submission date).</t>
  </si>
  <si>
    <t>More Info Requested on Date is used as workflow trigger</t>
  </si>
  <si>
    <t>&lt;500 Students — Automated Email 1: Thank You + Link</t>
  </si>
  <si>
    <t>More Info form submitted with &lt;500 students. Contact Status = HOT (MI-007 passed).</t>
  </si>
  <si>
    <t>1. Check contact's email inbox after form submission
2. Verify email content
3. Verify CTA links to Live Info Session registration</t>
  </si>
  <si>
    <t>Automated email received: 'Thank you for registering — here's the link.'
CTA to register for a Live Information Session.</t>
  </si>
  <si>
    <t>⚠️ TBD: What is the cadence? Sent immediately on submission?</t>
  </si>
  <si>
    <t>&lt;500 Students — Automated Email 2: Video + Impact</t>
  </si>
  <si>
    <t>First automated email sent (MI-008 passed).</t>
  </si>
  <si>
    <t>1. Wait for the second email cadence
2. Check contact's email inbox
3. Verify email includes video link of program in action
4. Verify email highlights impact of program
5. Verify CTA to register for Live Info Session</t>
  </si>
  <si>
    <t>Second automated email received with:
- Video link to program in action
- Impact highlights
- CTA to register for Live Info Session.</t>
  </si>
  <si>
    <t>⚠️ TBD: How many days after Email 1?</t>
  </si>
  <si>
    <t>&lt;500 Students — Automated Email 3: Live Info Details</t>
  </si>
  <si>
    <t>Second automated email sent (MI-009 passed).</t>
  </si>
  <si>
    <t>1. Wait for the third email cadence
2. Check contact's email inbox
3. Verify email contains further details of Live Info Session
4. Verify CTA to register
5. Check value proposition content</t>
  </si>
  <si>
    <t>Third automated email received with:
- Further details of Live Info Session
- Dependent on value proposition
- CTA to register for Live Info Session.</t>
  </si>
  <si>
    <t>⚠️ TBD: How many days after Email 2?</t>
  </si>
  <si>
    <t>&lt;500 Students — No Response → Contact Status WARM</t>
  </si>
  <si>
    <t>All 3 automated emails sent (MI-008 to MI-010 passed). Contact has NOT clicked any CTA or registered for Live Info Session.</t>
  </si>
  <si>
    <t>1. Wait until all 3 email cadences have completed
2. Verify contact has not registered for a Live Info Session
3. Check Contact Status in CRM</t>
  </si>
  <si>
    <t>Contact Status automatically changed from HOT → WARM.
No further automated emails sent.</t>
  </si>
  <si>
    <t>⚠️ TBD: How long after final email before WARM status triggers?</t>
  </si>
  <si>
    <t>&lt;500 Students — CTA Clicked → Live Info Registration</t>
  </si>
  <si>
    <t>Contact received automated emails (MI-008 to MI-010). Contact clicks CTA and registers for a Live Information Session.</t>
  </si>
  <si>
    <t>1. Contact clicks CTA link in any of the 3 emails
2. Registers for a Live Information Session
3. Open Organisation in CRM — check 2026 Sales Event
4. Check Contact Status</t>
  </si>
  <si>
    <t>Contact registers for Live Info Session.
Organisation 2026 Sales Event = '2026 Live Information Session'.
Contact Status remains HOT (not moved to WARM).</t>
  </si>
  <si>
    <t>Existing Org — Assignee Logic (Same as Enquiry)</t>
  </si>
  <si>
    <t>Organisation already exists in CRM. More Info form submitted using existing school.</t>
  </si>
  <si>
    <t>1. Check current Org Assignee
2. If Assignee = Maddie/Laura/Brendan/Vic → treated as new
3. If Assignee = other → treated as existing
4. Verify deal creation logic matches Enquiry flow</t>
  </si>
  <si>
    <t>New assignee (Maddie/Laura/Brendan/Vic): follows ≥500 or &lt;500 pathway as normal.
Other assignee: treated as existing — Contact and Enquiry assigned to current Org assignee. Confirm deal creation behaviour.</t>
  </si>
  <si>
    <t>Same assignee logic as TC-02 Enquiry</t>
  </si>
  <si>
    <t>More Information form is accessible.</t>
  </si>
  <si>
    <t>1. Attempt to submit with each required field blank individually:
- First Name, Last Name, Email, Mobile
- Role, School, State
- Number of Students, How did you hear about us</t>
  </si>
  <si>
    <t>Form does not submit.
Validation errors displayed for each missing required field.
No records created in CRM.</t>
  </si>
  <si>
    <t>Organisation is treated as NEW.
Deal is created at stage = NEW with Expected Close Date = 2 weeks from today.
Enquiry, Contact, Org updated as per standard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</si>
</sst>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ptos Narrow"/>
      <family val="2"/>
      <scheme val="minor"/>
    </font>
    <font>
      <b/>
      <sz val="12"/>
      <color theme="1"/>
      <name val="Aptos Narrow"/>
      <scheme val="minor"/>
    </font>
    <font>
      <b/>
      <sz val="11"/>
      <color rgb="FFFFFFFF"/>
      <name val="Public Sans"/>
    </font>
    <font>
      <sz val="10"/>
      <color rgb="FF000000"/>
      <name val="Public Sans"/>
    </font>
    <font>
      <b/>
      <sz val="10"/>
      <color rgb="FF000000"/>
      <name val="Public Sans"/>
    </font>
    <font>
      <u/>
      <sz val="12"/>
      <color theme="10"/>
      <name val="Aptos Narrow"/>
      <family val="2"/>
      <scheme val="minor"/>
    </font>
    <font>
      <b/>
      <sz val="10"/>
      <color theme="1"/>
      <name val="Public Sans"/>
    </font>
    <font>
      <sz val="10"/>
      <color rgb="FF9C0006"/>
      <name val="Public Sans"/>
    </font>
    <font>
      <sz val="10"/>
      <color rgb="FF006100"/>
      <name val="Public Sans"/>
    </font>
    <font>
      <b/>
      <sz val="18"/>
      <color rgb="FF00B0CA"/>
      <name val="Public Sans"/>
    </font>
    <font>
      <i/>
      <sz val="10"/>
      <color rgb="FF8A7E74"/>
      <name val="Public Sans"/>
    </font>
    <font>
      <b/>
      <sz val="8"/>
      <color rgb="FFFFFFFF"/>
      <name val="Public Sans"/>
    </font>
    <font>
      <b/>
      <sz val="22"/>
      <color rgb="FF000000"/>
      <name val="Public Sans"/>
    </font>
    <font>
      <b/>
      <sz val="22"/>
      <color rgb="FFDC0451"/>
      <name val="Public Sans"/>
    </font>
    <font>
      <b/>
      <sz val="9"/>
      <color rgb="FFFFFFFF"/>
      <name val="Public Sans"/>
    </font>
    <font>
      <b/>
      <sz val="11"/>
      <color rgb="FF00B0CA"/>
      <name val="Public Sans"/>
    </font>
    <font>
      <sz val="9"/>
      <color rgb="FF8A7E74"/>
      <name val="Public Sans"/>
    </font>
    <font>
      <u/>
      <sz val="10"/>
      <color rgb="FF000000"/>
      <name val="Public Sans"/>
    </font>
    <font>
      <b/>
      <sz val="10"/>
      <color rgb="FF006100"/>
      <name val="Public Sans"/>
    </font>
    <font>
      <b/>
      <sz val="10"/>
      <color rgb="FF9C0006"/>
      <name val="Public Sans"/>
    </font>
    <font>
      <sz val="10"/>
      <color rgb="FFE08000"/>
      <name val="Public Sans"/>
    </font>
    <font>
      <b/>
      <sz val="10"/>
      <color rgb="FFE08000"/>
      <name val="Public Sans"/>
    </font>
    <font>
      <b/>
      <sz val="22"/>
      <color rgb="FF006100"/>
      <name val="Public Sans"/>
    </font>
    <font>
      <b/>
      <sz val="22"/>
      <color rgb="FFE08000"/>
      <name val="Public Sans"/>
    </font>
  </fonts>
  <fills count="9">
    <fill>
      <patternFill patternType="none"/>
    </fill>
    <fill>
      <patternFill patternType="gray125"/>
    </fill>
    <fill>
      <patternFill patternType="solid">
        <fgColor rgb="FF00B0CA"/>
        <bgColor indexed="64"/>
      </patternFill>
    </fill>
    <fill>
      <patternFill patternType="solid">
        <fgColor rgb="FFF2EEEA"/>
        <bgColor indexed="64"/>
      </patternFill>
    </fill>
    <fill>
      <patternFill patternType="solid">
        <fgColor rgb="FFFFFFFF"/>
        <bgColor indexed="64"/>
      </patternFill>
    </fill>
    <fill>
      <patternFill patternType="solid">
        <fgColor rgb="FFE4DCD5"/>
        <bgColor indexed="64"/>
      </patternFill>
    </fill>
    <fill>
      <patternFill patternType="solid">
        <fgColor rgb="FF006100"/>
        <bgColor indexed="64"/>
      </patternFill>
    </fill>
    <fill>
      <patternFill patternType="solid">
        <fgColor rgb="FF9C0006"/>
        <bgColor indexed="64"/>
      </patternFill>
    </fill>
    <fill>
      <patternFill patternType="solid">
        <fgColor rgb="FFE08000"/>
        <bgColor indexed="64"/>
      </patternFill>
    </fill>
  </fills>
  <borders count="4">
    <border>
      <left/>
      <right/>
      <top/>
      <bottom/>
      <diagonal/>
    </border>
    <border>
      <left style="thin">
        <color rgb="FFE4DCD5"/>
      </left>
      <right style="thin">
        <color rgb="FFE4DCD5"/>
      </right>
      <top/>
      <bottom style="thin">
        <color rgb="FFE4DCD5"/>
      </bottom>
      <diagonal/>
    </border>
    <border>
      <left/>
      <right/>
      <top style="thin">
        <color rgb="FF000000"/>
      </top>
      <bottom style="thin">
        <color rgb="FF000000"/>
      </bottom>
      <diagonal/>
    </border>
    <border>
      <left/>
      <right/>
      <top/>
      <bottom style="thin">
        <color rgb="FF000000"/>
      </bottom>
      <diagonal/>
    </border>
  </borders>
  <cellStyleXfs count="2">
    <xf numFmtId="0" fontId="0" fillId="0" borderId="0"/>
    <xf numFmtId="0" fontId="5" fillId="0" borderId="0" applyNumberFormat="0" applyFill="0" applyBorder="0" applyAlignment="0" applyProtection="0"/>
  </cellStyleXfs>
  <cellXfs count="56">
    <xf numFmtId="0" fontId="0" fillId="0" borderId="0" xfId="0"/>
    <xf numFmtId="0" fontId="1" fillId="0" borderId="0" xfId="0" applyFont="1"/>
    <xf numFmtId="0" fontId="2" fillId="2" borderId="1" xfId="0" applyFont="1" applyFill="1" applyBorder="1" applyAlignment="1">
      <alignment horizontal="center" vertical="center" wrapText="1"/>
    </xf>
    <xf numFmtId="0" fontId="0" fillId="3" borderId="0" xfId="0" applyFill="1"/>
    <xf numFmtId="0" fontId="0" fillId="4" borderId="0" xfId="0" applyFill="1"/>
    <xf numFmtId="0" fontId="4" fillId="5" borderId="0" xfId="0" applyFont="1" applyFill="1"/>
    <xf numFmtId="0" fontId="3" fillId="3" borderId="0" xfId="0" applyFont="1" applyFill="1" applyAlignment="1">
      <alignment horizontal="left" vertical="top" wrapText="1"/>
    </xf>
    <xf numFmtId="0" fontId="3" fillId="4" borderId="0" xfId="0" applyFont="1" applyFill="1" applyAlignment="1">
      <alignment horizontal="left" vertical="top" wrapText="1"/>
    </xf>
    <xf numFmtId="0" fontId="3" fillId="3" borderId="0" xfId="0" applyFont="1" applyFill="1" applyAlignment="1">
      <alignment vertical="top"/>
    </xf>
    <xf numFmtId="0" fontId="3" fillId="4" borderId="0" xfId="0" applyFont="1" applyFill="1" applyAlignment="1">
      <alignment vertical="top"/>
    </xf>
    <xf numFmtId="0" fontId="9" fillId="4" borderId="0" xfId="0" applyFont="1" applyFill="1" applyBorder="1" applyAlignment="1">
      <alignment horizontal="left" vertical="center"/>
    </xf>
    <xf numFmtId="0" fontId="10" fillId="4" borderId="0" xfId="0" applyFont="1" applyFill="1" applyBorder="1"/>
    <xf numFmtId="0" fontId="11" fillId="2" borderId="0" xfId="0" applyFont="1" applyFill="1" applyAlignment="1">
      <alignment horizontal="center"/>
    </xf>
    <xf numFmtId="0" fontId="11" fillId="2" borderId="0" xfId="0" applyFont="1" applyFill="1" applyAlignment="1">
      <alignment horizontal="center"/>
    </xf>
    <xf numFmtId="0" fontId="12" fillId="3" borderId="0" xfId="0" applyFont="1" applyFill="1" applyAlignment="1">
      <alignment horizontal="center" vertical="center"/>
    </xf>
    <xf numFmtId="0" fontId="12" fillId="3" borderId="0" xfId="0" applyFont="1" applyFill="1" applyAlignment="1">
      <alignment horizontal="center" vertical="center"/>
    </xf>
    <xf numFmtId="0" fontId="13" fillId="3" borderId="0" xfId="0" applyFont="1" applyFill="1" applyAlignment="1">
      <alignment horizontal="center" vertical="center"/>
    </xf>
    <xf numFmtId="9" fontId="12" fillId="3" borderId="0" xfId="0" applyNumberFormat="1" applyFont="1" applyFill="1" applyAlignment="1">
      <alignment horizontal="center" vertical="center"/>
    </xf>
    <xf numFmtId="9" fontId="12" fillId="3" borderId="0" xfId="0" applyNumberFormat="1" applyFont="1" applyFill="1" applyAlignment="1">
      <alignment horizontal="center" vertical="center"/>
    </xf>
    <xf numFmtId="0" fontId="14" fillId="2" borderId="0" xfId="0" applyFont="1" applyFill="1" applyAlignment="1">
      <alignment horizontal="center"/>
    </xf>
    <xf numFmtId="0" fontId="14" fillId="2" borderId="0" xfId="0" applyFont="1" applyFill="1" applyAlignment="1">
      <alignment horizontal="left"/>
    </xf>
    <xf numFmtId="0" fontId="3" fillId="4" borderId="0" xfId="0" applyFont="1" applyFill="1" applyAlignment="1">
      <alignment horizontal="center" vertical="center"/>
    </xf>
    <xf numFmtId="0" fontId="3" fillId="4" borderId="0" xfId="0" applyFont="1" applyFill="1" applyAlignment="1">
      <alignment horizontal="left" vertical="center"/>
    </xf>
    <xf numFmtId="9" fontId="3" fillId="4" borderId="0" xfId="0" applyNumberFormat="1" applyFont="1" applyFill="1" applyAlignment="1">
      <alignment horizontal="center" vertical="center"/>
    </xf>
    <xf numFmtId="0" fontId="3" fillId="3" borderId="0" xfId="0" applyFont="1" applyFill="1" applyAlignment="1">
      <alignment horizontal="center" vertical="center"/>
    </xf>
    <xf numFmtId="0" fontId="3" fillId="3" borderId="0" xfId="0" applyFont="1" applyFill="1" applyAlignment="1">
      <alignment horizontal="left" vertical="center"/>
    </xf>
    <xf numFmtId="9" fontId="3" fillId="3" borderId="0" xfId="0" applyNumberFormat="1" applyFont="1" applyFill="1" applyAlignment="1">
      <alignment horizontal="center" vertical="center"/>
    </xf>
    <xf numFmtId="0" fontId="4" fillId="5" borderId="2" xfId="0" applyFont="1" applyFill="1" applyBorder="1" applyAlignment="1">
      <alignment horizontal="left"/>
    </xf>
    <xf numFmtId="0" fontId="4" fillId="5" borderId="2" xfId="0" applyFont="1" applyFill="1" applyBorder="1" applyAlignment="1">
      <alignment horizontal="center"/>
    </xf>
    <xf numFmtId="9" fontId="4" fillId="5" borderId="2" xfId="0" applyNumberFormat="1" applyFont="1" applyFill="1" applyBorder="1" applyAlignment="1">
      <alignment horizontal="center"/>
    </xf>
    <xf numFmtId="0" fontId="16" fillId="4" borderId="0" xfId="0" applyFont="1" applyFill="1"/>
    <xf numFmtId="0" fontId="15" fillId="4" borderId="0" xfId="0" applyFont="1" applyFill="1"/>
    <xf numFmtId="0" fontId="2" fillId="2" borderId="0" xfId="0" applyFont="1" applyFill="1" applyAlignment="1">
      <alignment horizontal="center" wrapText="1"/>
    </xf>
    <xf numFmtId="0" fontId="17" fillId="4" borderId="0" xfId="1" applyNumberFormat="1" applyFont="1" applyFill="1" applyAlignment="1">
      <alignment horizontal="center" vertical="center"/>
    </xf>
    <xf numFmtId="0" fontId="17" fillId="3" borderId="0" xfId="1" applyNumberFormat="1" applyFont="1" applyFill="1" applyAlignment="1">
      <alignment horizontal="center" vertical="center"/>
    </xf>
    <xf numFmtId="0" fontId="2" fillId="2" borderId="0" xfId="0" applyFont="1" applyFill="1" applyAlignment="1">
      <alignment horizontal="center" vertical="center" wrapText="1"/>
    </xf>
    <xf numFmtId="0" fontId="4" fillId="5" borderId="2" xfId="0" applyFont="1" applyFill="1" applyBorder="1" applyAlignment="1">
      <alignment vertical="top"/>
    </xf>
    <xf numFmtId="0" fontId="4" fillId="5" borderId="2" xfId="0" applyFont="1" applyFill="1" applyBorder="1" applyAlignment="1">
      <alignment horizontal="left" vertical="top" wrapText="1"/>
    </xf>
    <xf numFmtId="0" fontId="6" fillId="5" borderId="3" xfId="0" applyFont="1" applyFill="1" applyBorder="1"/>
    <xf numFmtId="0" fontId="14" fillId="6" borderId="0" xfId="0" applyFont="1" applyFill="1" applyAlignment="1">
      <alignment horizontal="center"/>
    </xf>
    <xf numFmtId="0" fontId="14" fillId="7" borderId="0" xfId="0" applyFont="1" applyFill="1" applyAlignment="1">
      <alignment horizontal="center"/>
    </xf>
    <xf numFmtId="0" fontId="14" fillId="8" borderId="0" xfId="0" applyFont="1" applyFill="1" applyAlignment="1">
      <alignment horizontal="center"/>
    </xf>
    <xf numFmtId="0" fontId="8" fillId="4" borderId="0" xfId="0" applyFont="1" applyFill="1" applyAlignment="1">
      <alignment horizontal="center" vertical="center"/>
    </xf>
    <xf numFmtId="0" fontId="8" fillId="3" borderId="0" xfId="0" applyFont="1" applyFill="1" applyAlignment="1">
      <alignment horizontal="center" vertical="center"/>
    </xf>
    <xf numFmtId="0" fontId="18" fillId="5" borderId="2" xfId="0" applyFont="1" applyFill="1" applyBorder="1" applyAlignment="1">
      <alignment horizontal="center"/>
    </xf>
    <xf numFmtId="0" fontId="7" fillId="4" borderId="0" xfId="0" applyFont="1" applyFill="1" applyAlignment="1">
      <alignment horizontal="center" vertical="center"/>
    </xf>
    <xf numFmtId="0" fontId="7" fillId="3" borderId="0" xfId="0" applyFont="1" applyFill="1" applyAlignment="1">
      <alignment horizontal="center" vertical="center"/>
    </xf>
    <xf numFmtId="0" fontId="19" fillId="5" borderId="2" xfId="0" applyFont="1" applyFill="1" applyBorder="1" applyAlignment="1">
      <alignment horizontal="center"/>
    </xf>
    <xf numFmtId="0" fontId="20" fillId="4" borderId="0" xfId="0" applyFont="1" applyFill="1" applyAlignment="1">
      <alignment horizontal="center" vertical="center"/>
    </xf>
    <xf numFmtId="0" fontId="20" fillId="3" borderId="0" xfId="0" applyFont="1" applyFill="1" applyAlignment="1">
      <alignment horizontal="center" vertical="center"/>
    </xf>
    <xf numFmtId="0" fontId="21" fillId="5" borderId="2" xfId="0" applyFont="1" applyFill="1" applyBorder="1" applyAlignment="1">
      <alignment horizontal="center"/>
    </xf>
    <xf numFmtId="0" fontId="22" fillId="3" borderId="0" xfId="0" applyFont="1" applyFill="1" applyAlignment="1">
      <alignment horizontal="center" vertical="center"/>
    </xf>
    <xf numFmtId="0" fontId="23" fillId="3" borderId="0" xfId="0" applyFont="1" applyFill="1" applyAlignment="1">
      <alignment horizontal="center" vertical="center"/>
    </xf>
    <xf numFmtId="0" fontId="11" fillId="6" borderId="0" xfId="0" applyFont="1" applyFill="1" applyAlignment="1">
      <alignment horizontal="center"/>
    </xf>
    <xf numFmtId="0" fontId="11" fillId="7" borderId="0" xfId="0" applyFont="1" applyFill="1" applyAlignment="1">
      <alignment horizontal="center"/>
    </xf>
    <xf numFmtId="0" fontId="11" fillId="8" borderId="0" xfId="0" applyFont="1" applyFill="1" applyAlignment="1">
      <alignment horizontal="center"/>
    </xf>
  </cellXfs>
  <cellStyles count="2">
    <cellStyle name="Hyperlink" xfId="1" builtinId="8"/>
    <cellStyle name="Normal" xfId="0" builtinId="0"/>
  </cellStyles>
  <dxfs count="288">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border diagonalUp="0" diagonalDown="0" outline="0">
        <left/>
        <right/>
        <top style="thin">
          <color rgb="FF000000"/>
        </top>
        <bottom style="thin">
          <color rgb="FF000000"/>
        </bottom>
      </border>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00B0CA"/>
      </font>
      <fill>
        <patternFill patternType="solid">
          <fgColor indexed="64"/>
          <bgColor rgb="FFD9EAF1"/>
        </patternFill>
      </fill>
    </dxf>
    <dxf>
      <font>
        <color rgb="FF8A7E74"/>
      </font>
      <fill>
        <patternFill patternType="solid">
          <fgColor indexed="64"/>
          <bgColor rgb="FFE4DCD5"/>
        </patternFill>
      </fill>
    </dxf>
    <dxf>
      <font>
        <color rgb="FF006100"/>
      </font>
      <fill>
        <patternFill patternType="solid">
          <fgColor indexed="64"/>
          <bgColor rgb="FFC6EFCE"/>
        </patternFill>
      </fill>
    </dxf>
    <dxf>
      <font>
        <color rgb="FF00B0CA"/>
      </font>
      <fill>
        <patternFill patternType="solid">
          <fgColor indexed="64"/>
          <bgColor rgb="FFD9EAF1"/>
        </patternFill>
      </fill>
    </dxf>
    <dxf>
      <font>
        <color rgb="FF8A7E74"/>
      </font>
      <fill>
        <patternFill patternType="solid">
          <fgColor indexed="64"/>
          <bgColor rgb="FFE4DCD5"/>
        </patternFill>
      </fill>
    </dxf>
    <dxf>
      <font>
        <color rgb="FF006100"/>
      </font>
      <fill>
        <patternFill patternType="solid">
          <fgColor indexed="64"/>
          <bgColor rgb="FFC6EFCE"/>
        </patternFill>
      </fill>
    </dxf>
    <dxf>
      <font>
        <color rgb="FF00B0CA"/>
      </font>
      <fill>
        <patternFill patternType="solid">
          <fgColor indexed="64"/>
          <bgColor rgb="FFD9EAF1"/>
        </patternFill>
      </fill>
    </dxf>
    <dxf>
      <font>
        <color rgb="FF8A7E74"/>
      </font>
      <fill>
        <patternFill patternType="solid">
          <fgColor indexed="64"/>
          <bgColor rgb="FFE4DCD5"/>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A7E74"/>
      </font>
      <fill>
        <patternFill patternType="solid">
          <fgColor indexed="64"/>
          <bgColor rgb="FFF2EEEA"/>
        </patternFill>
      </fill>
    </dxf>
    <dxf>
      <font>
        <color rgb="FF00B0CA"/>
      </font>
      <fill>
        <patternFill patternType="solid">
          <fgColor indexed="64"/>
          <bgColor rgb="FFD9EAF1"/>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border diagonalUp="0" diagonalDown="0" outline="0">
        <left/>
        <right/>
        <top style="thin">
          <color rgb="FF000000"/>
        </top>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0"/>
        <color rgb="FF000000"/>
        <name val="Public Sans"/>
        <scheme val="none"/>
      </font>
      <numFmt numFmtId="0" formatCode="General"/>
      <fill>
        <patternFill patternType="solid">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border>
        <top style="thin">
          <color rgb="FF000000"/>
        </top>
      </border>
    </dxf>
    <dxf>
      <font>
        <b/>
        <sz val="10"/>
        <color rgb="FF000000"/>
        <name val="Public Sans"/>
      </font>
      <fill>
        <patternFill patternType="solid">
          <fgColor rgb="FF000000"/>
          <bgColor rgb="FFE4DCD5"/>
        </patternFill>
      </fill>
    </dxf>
    <dxf>
      <font>
        <b val="0"/>
        <i val="0"/>
        <strike val="0"/>
        <condense val="0"/>
        <extend val="0"/>
        <outline val="0"/>
        <shadow val="0"/>
        <u val="none"/>
        <vertAlign val="baseline"/>
        <sz val="10"/>
        <color rgb="FF000000"/>
        <name val="Public Sans"/>
        <scheme val="none"/>
      </font>
      <fill>
        <patternFill patternType="solid">
          <fgColor rgb="FF000000"/>
          <bgColor rgb="FFFFFFFF"/>
        </patternFill>
      </fill>
      <alignment horizontal="left" vertical="top" textRotation="0" wrapText="1" indent="0" justifyLastLine="0" shrinkToFit="0" readingOrder="0"/>
    </dxf>
    <dxf>
      <font>
        <b/>
        <i val="0"/>
        <strike val="0"/>
        <condense val="0"/>
        <extend val="0"/>
        <outline val="0"/>
        <shadow val="0"/>
        <u val="none"/>
        <vertAlign val="baseline"/>
        <sz val="11"/>
        <color rgb="FFFFFFFF"/>
        <name val="Public Sans"/>
        <scheme val="none"/>
      </font>
      <fill>
        <patternFill patternType="solid">
          <fgColor indexed="64"/>
          <bgColor rgb="FF00B0CA"/>
        </patternFill>
      </fill>
      <alignment horizontal="center" vertical="center"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dxf>
    <dxf>
      <border>
        <top style="thin">
          <color rgb="FF000000"/>
        </top>
      </border>
    </dxf>
    <dxf>
      <font>
        <b/>
        <sz val="10"/>
        <color rgb="FF000000"/>
        <name val="Public Sans"/>
      </font>
      <fill>
        <patternFill patternType="solid">
          <fgColor indexed="64"/>
          <bgColor rgb="FFE4DCD5"/>
        </patternFill>
      </fill>
    </dxf>
    <dxf>
      <font>
        <b/>
        <i val="0"/>
        <strike val="0"/>
        <condense val="0"/>
        <extend val="0"/>
        <outline val="0"/>
        <shadow val="0"/>
        <u val="none"/>
        <vertAlign val="baseline"/>
        <sz val="11"/>
        <color rgb="FFFFFFFF"/>
        <name val="Public Sans"/>
        <scheme val="none"/>
      </font>
      <fill>
        <patternFill patternType="solid">
          <fgColor indexed="64"/>
          <bgColor rgb="FF00B0CA"/>
        </patternFill>
      </fill>
      <alignment horizontal="center" vertical="bottom"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border outline="0">
        <bottom style="thin">
          <color rgb="FF000000"/>
        </bottom>
      </border>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dxf>
    <dxf>
      <border>
        <top style="thin">
          <color rgb="FF000000"/>
        </top>
      </border>
    </dxf>
    <dxf>
      <font>
        <b/>
        <sz val="10"/>
        <color rgb="FF000000"/>
        <name val="Public Sans"/>
      </font>
      <fill>
        <patternFill patternType="solid">
          <fgColor indexed="64"/>
          <bgColor rgb="FFE4DCD5"/>
        </patternFill>
      </fill>
    </dxf>
    <dxf>
      <font>
        <b/>
        <i val="0"/>
        <strike val="0"/>
        <condense val="0"/>
        <extend val="0"/>
        <outline val="0"/>
        <shadow val="0"/>
        <u val="none"/>
        <vertAlign val="baseline"/>
        <sz val="11"/>
        <color rgb="FFFFFFFF"/>
        <name val="Public Sans"/>
        <scheme val="none"/>
      </font>
      <fill>
        <patternFill patternType="solid">
          <fgColor indexed="64"/>
          <bgColor rgb="FF00B0CA"/>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dxf>
    <dxf>
      <border>
        <top style="thin">
          <color rgb="FF000000"/>
        </top>
      </border>
    </dxf>
    <dxf>
      <font>
        <b/>
        <sz val="10"/>
        <color rgb="FF000000"/>
        <name val="Public Sans"/>
      </font>
      <fill>
        <patternFill patternType="solid">
          <fgColor indexed="64"/>
          <bgColor rgb="FFE4DCD5"/>
        </patternFill>
      </fill>
    </dxf>
    <dxf>
      <font>
        <b/>
        <i val="0"/>
        <strike val="0"/>
        <condense val="0"/>
        <extend val="0"/>
        <outline val="0"/>
        <shadow val="0"/>
        <u val="none"/>
        <vertAlign val="baseline"/>
        <sz val="11"/>
        <color rgb="FFFFFFFF"/>
        <name val="Public Sans"/>
        <scheme val="none"/>
      </font>
      <fill>
        <patternFill patternType="solid">
          <fgColor indexed="64"/>
          <bgColor rgb="FF00B0CA"/>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left" vertical="top" textRotation="0" wrapText="1"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alignment horizontal="general" vertical="top" textRotation="0" wrapText="0" indent="0" justifyLastLine="0" shrinkToFit="0" readingOrder="0"/>
    </dxf>
    <dxf>
      <border>
        <top style="thin">
          <color rgb="FF000000"/>
        </top>
      </border>
    </dxf>
    <dxf>
      <font>
        <b/>
        <sz val="10"/>
        <color rgb="FF000000"/>
        <name val="Public Sans"/>
      </font>
      <fill>
        <patternFill patternType="solid">
          <fgColor indexed="64"/>
          <bgColor rgb="FFE4DCD5"/>
        </patternFill>
      </fill>
    </dxf>
    <dxf>
      <font>
        <b/>
        <i val="0"/>
        <strike val="0"/>
        <condense val="0"/>
        <extend val="0"/>
        <outline val="0"/>
        <shadow val="0"/>
        <u val="none"/>
        <vertAlign val="baseline"/>
        <sz val="11"/>
        <color rgb="FFFFFFFF"/>
        <name val="Public Sans"/>
        <scheme val="none"/>
      </font>
      <fill>
        <patternFill patternType="solid">
          <fgColor indexed="64"/>
          <bgColor rgb="FF00B0CA"/>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border>
        <top style="thin">
          <color rgb="FF000000"/>
        </top>
      </border>
    </dxf>
    <dxf>
      <font>
        <b/>
        <sz val="10"/>
        <color rgb="FF000000"/>
        <name val="Public Sans"/>
      </font>
      <fill>
        <patternFill patternType="solid">
          <fgColor indexed="64"/>
          <bgColor rgb="FFE4DCD5"/>
        </patternFill>
      </fill>
    </dxf>
    <dxf>
      <font>
        <b/>
        <i val="0"/>
        <strike val="0"/>
        <condense val="0"/>
        <extend val="0"/>
        <outline val="0"/>
        <shadow val="0"/>
        <u val="none"/>
        <vertAlign val="baseline"/>
        <sz val="11"/>
        <color rgb="FFFFFFFF"/>
        <name val="Public Sans"/>
        <scheme val="none"/>
      </font>
      <fill>
        <patternFill patternType="solid">
          <fgColor indexed="64"/>
          <bgColor rgb="FF00B0CA"/>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ublic Sans"/>
        <scheme val="none"/>
      </font>
      <fill>
        <patternFill patternType="solid">
          <fgColor indexed="64"/>
          <bgColor rgb="FFFFFFFF"/>
        </patternFill>
      </fill>
      <alignment horizontal="general" vertical="top" textRotation="0" wrapText="0" indent="0" justifyLastLine="0" shrinkToFit="0" readingOrder="0"/>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font>
        <b/>
        <i val="0"/>
        <strike val="0"/>
        <condense val="0"/>
        <extend val="0"/>
        <outline val="0"/>
        <shadow val="0"/>
        <u val="none"/>
        <vertAlign val="baseline"/>
        <sz val="10"/>
        <color rgb="FF000000"/>
        <name val="Public Sans"/>
        <scheme val="none"/>
      </font>
      <fill>
        <patternFill patternType="solid">
          <fgColor indexed="64"/>
          <bgColor rgb="FFE4DCD5"/>
        </patternFill>
      </fill>
    </dxf>
    <dxf>
      <numFmt numFmtId="0" formatCode="General"/>
      <alignment vertical="top"/>
    </dxf>
    <dxf>
      <numFmt numFmtId="0" formatCode="General"/>
      <alignment vertical="top"/>
    </dxf>
    <dxf>
      <alignment horizontal="left" vertical="top" wrapText="1"/>
    </dxf>
    <dxf>
      <alignment vertical="top"/>
    </dxf>
    <dxf>
      <alignment vertical="top"/>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border outline="0">
        <bottom style="thin">
          <color rgb="FFE4DCD5"/>
        </bottom>
      </border>
    </dxf>
    <dxf>
      <border outline="0">
        <top style="thin">
          <color rgb="FFE4DCD5"/>
        </top>
      </border>
    </dxf>
    <dxf>
      <font>
        <b/>
        <sz val="10"/>
        <color rgb="FF000000"/>
        <name val="Public Sans"/>
      </font>
      <fill>
        <patternFill patternType="solid">
          <fgColor rgb="FF000000"/>
          <bgColor rgb="FFE4DCD5"/>
        </patternFill>
      </fill>
    </dxf>
    <dxf>
      <font>
        <b/>
        <i val="0"/>
        <strike val="0"/>
        <condense val="0"/>
        <extend val="0"/>
        <outline val="0"/>
        <shadow val="0"/>
        <u val="none"/>
        <vertAlign val="baseline"/>
        <sz val="11"/>
        <color rgb="FFFFFFFF"/>
        <name val="Public Sans"/>
        <scheme val="none"/>
      </font>
      <fill>
        <patternFill patternType="solid">
          <fgColor indexed="64"/>
          <bgColor rgb="FF00B0CA"/>
        </patternFill>
      </fill>
      <alignment horizontal="center" vertical="center" textRotation="0" wrapText="1" indent="0" justifyLastLine="0" shrinkToFit="0" readingOrder="0"/>
      <border diagonalUp="0" diagonalDown="0">
        <left style="thin">
          <color rgb="FFE4DCD5"/>
        </left>
        <right style="thin">
          <color rgb="FFE4DCD5"/>
        </right>
        <top/>
        <bottom/>
      </border>
    </dxf>
    <dxf>
      <alignment horizontal="left" vertical="top" wrapText="1"/>
    </dxf>
    <dxf>
      <alignment vertical="top"/>
    </dxf>
    <dxf>
      <alignment vertical="top"/>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border outline="0">
        <bottom style="thin">
          <color rgb="FFE4DCD5"/>
        </bottom>
      </border>
    </dxf>
    <dxf>
      <border outline="0">
        <top style="thin">
          <color rgb="FFE4DCD5"/>
        </top>
      </border>
    </dxf>
    <dxf>
      <font>
        <b/>
        <sz val="10"/>
        <color rgb="FF000000"/>
        <name val="Public Sans"/>
      </font>
      <fill>
        <patternFill patternType="solid">
          <fgColor rgb="FF000000"/>
          <bgColor rgb="FFE4DCD5"/>
        </patternFill>
      </fill>
    </dxf>
    <dxf>
      <font>
        <b/>
        <i val="0"/>
        <strike val="0"/>
        <condense val="0"/>
        <extend val="0"/>
        <outline val="0"/>
        <shadow val="0"/>
        <u val="none"/>
        <vertAlign val="baseline"/>
        <sz val="11"/>
        <color rgb="FFFFFFFF"/>
        <name val="Public Sans"/>
        <scheme val="none"/>
      </font>
      <fill>
        <patternFill patternType="solid">
          <fgColor indexed="64"/>
          <bgColor rgb="FF00B0CA"/>
        </patternFill>
      </fill>
      <alignment horizontal="center" vertical="center" textRotation="0" wrapText="1" indent="0" justifyLastLine="0" shrinkToFit="0" readingOrder="0"/>
      <border diagonalUp="0" diagonalDown="0">
        <left style="thin">
          <color rgb="FFE4DCD5"/>
        </left>
        <right style="thin">
          <color rgb="FFE4DCD5"/>
        </right>
        <top/>
        <bottom/>
      </border>
    </dxf>
    <dxf>
      <alignment vertical="top"/>
    </dxf>
    <dxf>
      <alignment vertical="top"/>
    </dxf>
    <dxf>
      <alignment vertical="top"/>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font>
        <b/>
        <i val="0"/>
        <strike val="0"/>
        <condense val="0"/>
        <extend val="0"/>
        <outline val="0"/>
        <shadow val="0"/>
        <u val="none"/>
        <vertAlign val="baseline"/>
        <sz val="11"/>
        <color rgb="FFFFFFFF"/>
        <name val="Public Sans"/>
        <scheme val="none"/>
      </font>
      <fill>
        <patternFill patternType="solid">
          <fgColor indexed="64"/>
          <bgColor rgb="FF00B0CA"/>
        </patternFill>
      </fill>
      <alignment horizontal="center" vertical="center" textRotation="0" wrapText="1" indent="0" justifyLastLine="0" shrinkToFit="0" readingOrder="0"/>
      <border diagonalUp="0" diagonalDown="0">
        <left style="thin">
          <color rgb="FFE4DCD5"/>
        </left>
        <right style="thin">
          <color rgb="FFE4DCD5"/>
        </right>
        <top/>
        <bottom/>
      </border>
    </dxf>
    <dxf>
      <border outline="0">
        <bottom style="thin">
          <color rgb="FFE4DCD5"/>
        </bottom>
      </border>
    </dxf>
    <dxf>
      <border outline="0">
        <top style="thin">
          <color rgb="FFE4DCD5"/>
        </top>
      </border>
    </dxf>
    <dxf>
      <font>
        <b/>
        <sz val="10"/>
        <color rgb="FF000000"/>
        <name val="Public Sans"/>
      </font>
      <fill>
        <patternFill patternType="solid">
          <fgColor indexed="64"/>
          <bgColor rgb="FFE4DC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Public Sans"/>
                <a:ea typeface="Public Sans"/>
                <a:cs typeface="Public Sans"/>
              </a:defRPr>
            </a:pPr>
            <a:r>
              <a:rPr lang="en-US"/>
              <a:t>Test Execution Progress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Public Sans"/>
              <a:ea typeface="Public Sans"/>
              <a:cs typeface="Public Sans"/>
            </a:defRPr>
          </a:pPr>
          <a:endParaRPr lang="en-US"/>
        </a:p>
      </c:txPr>
    </c:title>
    <c:autoTitleDeleted val="0"/>
    <c:plotArea>
      <c:layout/>
      <c:barChart>
        <c:barDir val="bar"/>
        <c:grouping val="stacked"/>
        <c:varyColors val="0"/>
        <c:ser>
          <c:idx val="0"/>
          <c:order val="0"/>
          <c:tx>
            <c:strRef>
              <c:f>Overview!$M$8</c:f>
              <c:strCache>
                <c:ptCount val="1"/>
                <c:pt idx="0">
                  <c:v>Passed</c:v>
                </c:pt>
              </c:strCache>
            </c:strRef>
          </c:tx>
          <c:spPr>
            <a:solidFill>
              <a:srgbClr val="00B0CA"/>
            </a:solidFill>
            <a:ln>
              <a:noFill/>
            </a:ln>
            <a:effectLst/>
          </c:spPr>
          <c:invertIfNegative val="0"/>
          <c:cat>
            <c:strRef>
              <c:f>Overview!$L$9:$L$17</c:f>
              <c:strCache>
                <c:ptCount val="9"/>
                <c:pt idx="0">
                  <c:v>1. Bulk Upload - Proactive Prospects</c:v>
                </c:pt>
                <c:pt idx="1">
                  <c:v>2. Enquiry Process — "Chat to us" (CJ1)</c:v>
                </c:pt>
                <c:pt idx="2">
                  <c:v>3. More Information Form - &gt;=500 &amp; &lt;500 (CJ1/CJ3a)</c:v>
                </c:pt>
                <c:pt idx="3">
                  <c:v>4. Conferences — Delegates, Prize Pack (CJ2b)</c:v>
                </c:pt>
                <c:pt idx="4">
                  <c:v>5. Conferences - Enquiry (CJ3c)</c:v>
                </c:pt>
                <c:pt idx="5">
                  <c:v>6. Teacher Seminar — Attendance (CJ3b)</c:v>
                </c:pt>
                <c:pt idx="6">
                  <c:v>7. Live Info Session — Registration (CJ3a/3b)</c:v>
                </c:pt>
                <c:pt idx="7">
                  <c:v>8. XC-01. Prospect Flow &gt;= 500 (Cross Cutting)</c:v>
                </c:pt>
                <c:pt idx="8">
                  <c:v>9. XC-02. Lead Flow &lt;500 (Cross Cutting)</c:v>
                </c:pt>
              </c:strCache>
            </c:strRef>
          </c:cat>
          <c:val>
            <c:numRef>
              <c:f>Overview!$M$9:$M$17</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96CC-0E4A-90E2-3FEF6A8E9721}"/>
            </c:ext>
          </c:extLst>
        </c:ser>
        <c:ser>
          <c:idx val="1"/>
          <c:order val="1"/>
          <c:tx>
            <c:strRef>
              <c:f>Overview!$N$8</c:f>
              <c:strCache>
                <c:ptCount val="1"/>
                <c:pt idx="0">
                  <c:v>Failed</c:v>
                </c:pt>
              </c:strCache>
            </c:strRef>
          </c:tx>
          <c:spPr>
            <a:solidFill>
              <a:srgbClr val="DC0451"/>
            </a:solidFill>
            <a:ln>
              <a:noFill/>
            </a:ln>
            <a:effectLst/>
          </c:spPr>
          <c:invertIfNegative val="0"/>
          <c:cat>
            <c:strRef>
              <c:f>Overview!$L$9:$L$17</c:f>
              <c:strCache>
                <c:ptCount val="9"/>
                <c:pt idx="0">
                  <c:v>1. Bulk Upload - Proactive Prospects</c:v>
                </c:pt>
                <c:pt idx="1">
                  <c:v>2. Enquiry Process — "Chat to us" (CJ1)</c:v>
                </c:pt>
                <c:pt idx="2">
                  <c:v>3. More Information Form - &gt;=500 &amp; &lt;500 (CJ1/CJ3a)</c:v>
                </c:pt>
                <c:pt idx="3">
                  <c:v>4. Conferences — Delegates, Prize Pack (CJ2b)</c:v>
                </c:pt>
                <c:pt idx="4">
                  <c:v>5. Conferences - Enquiry (CJ3c)</c:v>
                </c:pt>
                <c:pt idx="5">
                  <c:v>6. Teacher Seminar — Attendance (CJ3b)</c:v>
                </c:pt>
                <c:pt idx="6">
                  <c:v>7. Live Info Session — Registration (CJ3a/3b)</c:v>
                </c:pt>
                <c:pt idx="7">
                  <c:v>8. XC-01. Prospect Flow &gt;= 500 (Cross Cutting)</c:v>
                </c:pt>
                <c:pt idx="8">
                  <c:v>9. XC-02. Lead Flow &lt;500 (Cross Cutting)</c:v>
                </c:pt>
              </c:strCache>
            </c:strRef>
          </c:cat>
          <c:val>
            <c:numRef>
              <c:f>Overview!$N$9:$N$17</c:f>
              <c:numCache>
                <c:formatCode>General</c:formatCode>
                <c:ptCount val="9"/>
                <c:pt idx="0">
                  <c:v>2</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96CC-0E4A-90E2-3FEF6A8E9721}"/>
            </c:ext>
          </c:extLst>
        </c:ser>
        <c:ser>
          <c:idx val="2"/>
          <c:order val="2"/>
          <c:tx>
            <c:strRef>
              <c:f>Overview!$O$8</c:f>
              <c:strCache>
                <c:ptCount val="1"/>
                <c:pt idx="0">
                  <c:v>Blocked</c:v>
                </c:pt>
              </c:strCache>
            </c:strRef>
          </c:tx>
          <c:spPr>
            <a:solidFill>
              <a:srgbClr val="FFA02F"/>
            </a:solidFill>
            <a:ln>
              <a:noFill/>
            </a:ln>
            <a:effectLst/>
          </c:spPr>
          <c:invertIfNegative val="0"/>
          <c:cat>
            <c:strRef>
              <c:f>Overview!$L$9:$L$17</c:f>
              <c:strCache>
                <c:ptCount val="9"/>
                <c:pt idx="0">
                  <c:v>1. Bulk Upload - Proactive Prospects</c:v>
                </c:pt>
                <c:pt idx="1">
                  <c:v>2. Enquiry Process — "Chat to us" (CJ1)</c:v>
                </c:pt>
                <c:pt idx="2">
                  <c:v>3. More Information Form - &gt;=500 &amp; &lt;500 (CJ1/CJ3a)</c:v>
                </c:pt>
                <c:pt idx="3">
                  <c:v>4. Conferences — Delegates, Prize Pack (CJ2b)</c:v>
                </c:pt>
                <c:pt idx="4">
                  <c:v>5. Conferences - Enquiry (CJ3c)</c:v>
                </c:pt>
                <c:pt idx="5">
                  <c:v>6. Teacher Seminar — Attendance (CJ3b)</c:v>
                </c:pt>
                <c:pt idx="6">
                  <c:v>7. Live Info Session — Registration (CJ3a/3b)</c:v>
                </c:pt>
                <c:pt idx="7">
                  <c:v>8. XC-01. Prospect Flow &gt;= 500 (Cross Cutting)</c:v>
                </c:pt>
                <c:pt idx="8">
                  <c:v>9. XC-02. Lead Flow &lt;500 (Cross Cutting)</c:v>
                </c:pt>
              </c:strCache>
            </c:strRef>
          </c:cat>
          <c:val>
            <c:numRef>
              <c:f>Overview!$O$9:$O$17</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96CC-0E4A-90E2-3FEF6A8E9721}"/>
            </c:ext>
          </c:extLst>
        </c:ser>
        <c:ser>
          <c:idx val="3"/>
          <c:order val="3"/>
          <c:tx>
            <c:strRef>
              <c:f>Overview!$P$8</c:f>
              <c:strCache>
                <c:ptCount val="1"/>
                <c:pt idx="0">
                  <c:v>Not Run</c:v>
                </c:pt>
              </c:strCache>
            </c:strRef>
          </c:tx>
          <c:spPr>
            <a:solidFill>
              <a:srgbClr val="E4DCD5"/>
            </a:solidFill>
            <a:ln>
              <a:noFill/>
            </a:ln>
            <a:effectLst/>
          </c:spPr>
          <c:invertIfNegative val="0"/>
          <c:cat>
            <c:strRef>
              <c:f>Overview!$L$9:$L$17</c:f>
              <c:strCache>
                <c:ptCount val="9"/>
                <c:pt idx="0">
                  <c:v>1. Bulk Upload - Proactive Prospects</c:v>
                </c:pt>
                <c:pt idx="1">
                  <c:v>2. Enquiry Process — "Chat to us" (CJ1)</c:v>
                </c:pt>
                <c:pt idx="2">
                  <c:v>3. More Information Form - &gt;=500 &amp; &lt;500 (CJ1/CJ3a)</c:v>
                </c:pt>
                <c:pt idx="3">
                  <c:v>4. Conferences — Delegates, Prize Pack (CJ2b)</c:v>
                </c:pt>
                <c:pt idx="4">
                  <c:v>5. Conferences - Enquiry (CJ3c)</c:v>
                </c:pt>
                <c:pt idx="5">
                  <c:v>6. Teacher Seminar — Attendance (CJ3b)</c:v>
                </c:pt>
                <c:pt idx="6">
                  <c:v>7. Live Info Session — Registration (CJ3a/3b)</c:v>
                </c:pt>
                <c:pt idx="7">
                  <c:v>8. XC-01. Prospect Flow &gt;= 500 (Cross Cutting)</c:v>
                </c:pt>
                <c:pt idx="8">
                  <c:v>9. XC-02. Lead Flow &lt;500 (Cross Cutting)</c:v>
                </c:pt>
              </c:strCache>
            </c:strRef>
          </c:cat>
          <c:val>
            <c:numRef>
              <c:f>Overview!$P$9:$P$17</c:f>
              <c:numCache>
                <c:formatCode>General</c:formatCode>
                <c:ptCount val="9"/>
                <c:pt idx="0">
                  <c:v>6</c:v>
                </c:pt>
                <c:pt idx="1">
                  <c:v>17</c:v>
                </c:pt>
                <c:pt idx="2">
                  <c:v>14</c:v>
                </c:pt>
                <c:pt idx="3">
                  <c:v>10</c:v>
                </c:pt>
                <c:pt idx="4">
                  <c:v>10</c:v>
                </c:pt>
                <c:pt idx="5">
                  <c:v>10</c:v>
                </c:pt>
                <c:pt idx="6">
                  <c:v>10</c:v>
                </c:pt>
                <c:pt idx="7">
                  <c:v>10</c:v>
                </c:pt>
                <c:pt idx="8">
                  <c:v>10</c:v>
                </c:pt>
              </c:numCache>
            </c:numRef>
          </c:val>
          <c:extLst>
            <c:ext xmlns:c16="http://schemas.microsoft.com/office/drawing/2014/chart" uri="{C3380CC4-5D6E-409C-BE32-E72D297353CC}">
              <c16:uniqueId val="{00000003-96CC-0E4A-90E2-3FEF6A8E9721}"/>
            </c:ext>
          </c:extLst>
        </c:ser>
        <c:dLbls>
          <c:showLegendKey val="0"/>
          <c:showVal val="0"/>
          <c:showCatName val="0"/>
          <c:showSerName val="0"/>
          <c:showPercent val="0"/>
          <c:showBubbleSize val="0"/>
        </c:dLbls>
        <c:gapWidth val="150"/>
        <c:overlap val="100"/>
        <c:axId val="712337472"/>
        <c:axId val="712341952"/>
      </c:barChart>
      <c:catAx>
        <c:axId val="71233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0000"/>
                </a:solidFill>
                <a:latin typeface="Public Sans"/>
                <a:ea typeface="Public Sans"/>
                <a:cs typeface="Public Sans"/>
              </a:defRPr>
            </a:pPr>
            <a:endParaRPr lang="en-US"/>
          </a:p>
        </c:txPr>
        <c:crossAx val="712341952"/>
        <c:crosses val="autoZero"/>
        <c:auto val="1"/>
        <c:lblAlgn val="ctr"/>
        <c:lblOffset val="100"/>
        <c:noMultiLvlLbl val="0"/>
      </c:catAx>
      <c:valAx>
        <c:axId val="71234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A7E74"/>
                </a:solidFill>
                <a:latin typeface="Public Sans"/>
                <a:ea typeface="Public Sans"/>
                <a:cs typeface="Public Sans"/>
              </a:defRPr>
            </a:pPr>
            <a:endParaRPr lang="en-US"/>
          </a:p>
        </c:txPr>
        <c:crossAx val="712337472"/>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ublic Sans"/>
              <a:ea typeface="Public Sans"/>
              <a:cs typeface="Public San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127000</xdr:colOff>
      <xdr:row>25</xdr:row>
      <xdr:rowOff>76200</xdr:rowOff>
    </xdr:from>
    <xdr:to>
      <xdr:col>7</xdr:col>
      <xdr:colOff>342900</xdr:colOff>
      <xdr:row>46</xdr:row>
      <xdr:rowOff>127000</xdr:rowOff>
    </xdr:to>
    <xdr:graphicFrame macro="">
      <xdr:nvGraphicFramePr>
        <xdr:cNvPr id="5" name="Chart 4">
          <a:extLst>
            <a:ext uri="{FF2B5EF4-FFF2-40B4-BE49-F238E27FC236}">
              <a16:creationId xmlns:a16="http://schemas.microsoft.com/office/drawing/2014/main" id="{10ED6A63-B6E1-0F2C-E7CC-D1DCFAE2D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8F83DDF-3F5A-C845-A549-259DCABB8A95}" name="BulkUploadTests" displayName="BulkUploadTests" ref="A1:I9" totalsRowShown="0" headerRowDxfId="149" dataDxfId="150" totalsRowDxfId="148" tableBorderDxfId="160" totalsRowBorderDxfId="147">
  <autoFilter ref="A1:I9" xr:uid="{58F83DDF-3F5A-C845-A549-259DCABB8A95}"/>
  <tableColumns count="9">
    <tableColumn id="1" xr3:uid="{AA236031-3F79-2046-A1CF-32585217C58F}" name="Test Case ID" dataDxfId="159" totalsRowDxfId="146">
      <calculatedColumnFormula>"BU-"&amp;TEXT(ROW()-1,"000")</calculatedColumnFormula>
    </tableColumn>
    <tableColumn id="2" xr3:uid="{D14A698A-EBA2-5040-88C5-9A4FDAFDCF52}" name="Feature / Scenario" dataDxfId="158" totalsRowDxfId="145"/>
    <tableColumn id="3" xr3:uid="{93950687-5C7E-164D-A30A-C02E1A0CFA59}" name="Pre-conditions" dataDxfId="157" totalsRowDxfId="144"/>
    <tableColumn id="4" xr3:uid="{FD4E6327-E736-1643-816C-3547A3EF8B4B}" name="Test Steps" dataDxfId="156" totalsRowDxfId="143"/>
    <tableColumn id="5" xr3:uid="{1F8C7374-6C6A-BE49-92E5-97D65D6AF1A7}" name="Expected Result" dataDxfId="155" totalsRowDxfId="142"/>
    <tableColumn id="6" xr3:uid="{AE853AC7-9C6C-1F41-917A-FB2A0F0F664B}" name="Actual Result" dataDxfId="154" totalsRowDxfId="141"/>
    <tableColumn id="7" xr3:uid="{E0ACBCBD-2798-724E-B480-10CA539D1C15}" name="Pass / Fail" dataDxfId="153" totalsRowDxfId="140"/>
    <tableColumn id="8" xr3:uid="{78A41D4E-2237-4542-A411-F6E2B7D1973F}" name="Type (New/Regression)" dataDxfId="152" totalsRowDxfId="139"/>
    <tableColumn id="9" xr3:uid="{518083BC-770F-FE48-BF25-D9FC10E09372}" name="Notes / Questions" dataDxfId="151" totalsRowDxfId="13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C3FA6F-B436-D248-87AB-864E4407C5FC}" name="EnquiryTests" displayName="EnquiryTests" ref="A1:I19" totalsRowCount="1" headerRowDxfId="284" totalsRowDxfId="287" headerRowBorderDxfId="285" tableBorderDxfId="286">
  <autoFilter ref="A1:I18" xr:uid="{4EC3FA6F-B436-D248-87AB-864E4407C5FC}"/>
  <tableColumns count="9">
    <tableColumn id="1" xr3:uid="{A2FAFB9A-1E80-D843-900E-6B885D4F2658}" name="Test Case ID" totalsRowLabel="Total" dataDxfId="277" totalsRowDxfId="8">
      <calculatedColumnFormula>"ENQ-"&amp;TEXT(ROW()-1,"000")</calculatedColumnFormula>
    </tableColumn>
    <tableColumn id="2" xr3:uid="{7E86C9F1-E432-084C-AF90-E12BE5011F90}" name="Feature / Scenario" dataDxfId="283" totalsRowDxfId="7"/>
    <tableColumn id="3" xr3:uid="{D9E3BB62-A33E-A24E-9131-EC1182244D7C}" name="Pre-conditions" dataDxfId="282" totalsRowDxfId="6"/>
    <tableColumn id="4" xr3:uid="{2FDBA8C1-6C04-EA42-8673-593145BD7FEB}" name="Test Steps" dataDxfId="281" totalsRowDxfId="5"/>
    <tableColumn id="5" xr3:uid="{FC187EEF-573D-1845-8E19-01E3D657A9A4}" name="Expected Result" dataDxfId="280" totalsRowDxfId="4"/>
    <tableColumn id="6" xr3:uid="{777745AB-E051-7948-AF8F-48E8E66EE4ED}" name="Actual Result" dataDxfId="279" totalsRowDxfId="3"/>
    <tableColumn id="7" xr3:uid="{83426572-2986-9C4A-9341-C1B2A34512C1}" name="Pass / Fail" totalsRowFunction="custom" dataDxfId="276" totalsRowDxfId="2">
      <totalsRowFormula>COUNTA(EnquiryTests[Pass / Fail])&amp;" of "&amp;ROWS(EnquiryTests[Pass / Fail])&amp;" completed"</totalsRowFormula>
    </tableColumn>
    <tableColumn id="8" xr3:uid="{343BF389-0DC8-8348-81FE-1152DB694C88}" name="Type (New/Regression)" dataDxfId="275" totalsRowDxfId="1"/>
    <tableColumn id="9" xr3:uid="{978BA314-AF58-294E-954B-E52BF6E1DB08}" name="Notes / Questions" totalsRowFunction="count" dataDxfId="278" totalsRowDxfId="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F20674-6128-FA47-BC28-D49102B12AE1}" name="MoreInfoTests" displayName="MoreInfoTests" ref="A1:I16" totalsRowCount="1" headerRowDxfId="229" dataDxfId="230" totalsRowDxfId="228" totalsRowBorderDxfId="227">
  <autoFilter ref="A1:I15" xr:uid="{4BF20674-6128-FA47-BC28-D49102B12AE1}"/>
  <tableColumns count="9">
    <tableColumn id="1" xr3:uid="{F7206426-4E20-794B-A40B-2D03096D057C}" name="Test Case ID" totalsRowLabel="Total" dataDxfId="239" totalsRowDxfId="17">
      <calculatedColumnFormula>"MI-"&amp;TEXT(ROW()-1,"000")</calculatedColumnFormula>
    </tableColumn>
    <tableColumn id="2" xr3:uid="{46F1A120-9C2D-E548-9E31-A997B09CD7D1}" name="Feature / Scenario" dataDxfId="238" totalsRowDxfId="16"/>
    <tableColumn id="3" xr3:uid="{C5ECFFE0-93A7-8A4A-B702-58FAA910F956}" name="Pre-conditions" dataDxfId="237" totalsRowDxfId="15"/>
    <tableColumn id="4" xr3:uid="{6C4D7556-9757-DC46-BA5A-2677788A1C2C}" name="Test Steps" dataDxfId="236" totalsRowDxfId="14"/>
    <tableColumn id="5" xr3:uid="{87F13FC3-BC63-A644-A46C-1F14DA46EF65}" name="Expected Result" dataDxfId="235" totalsRowDxfId="13"/>
    <tableColumn id="6" xr3:uid="{5E58FC84-6086-024F-B32E-4B1A79B78254}" name="Actual Result" dataDxfId="234" totalsRowDxfId="12"/>
    <tableColumn id="7" xr3:uid="{F61BF2C0-39B5-3A4E-ACE0-DB626685EC5B}" name="Pass / Fail" totalsRowFunction="custom" dataDxfId="233" totalsRowDxfId="11">
      <totalsRowFormula>COUNTA(G2:G15)&amp;" of "&amp;COUNTA(A2:A15)&amp;" completed"</totalsRowFormula>
    </tableColumn>
    <tableColumn id="8" xr3:uid="{A9AEA050-F502-5B46-850A-5BA9E15C53B4}" name="Type (New/Regression)" dataDxfId="232" totalsRowDxfId="10"/>
    <tableColumn id="9" xr3:uid="{18FD4E76-0287-F140-9BD2-AD54A8C14EE2}" name="Notes / Questions" totalsRowFunction="count" dataDxfId="231" totalsRowDxfId="9"/>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034C2A-21DA-FE4C-B727-0B4949AEEA5F}" name="ConferenceTests" displayName="ConferenceTests" ref="A1:I12" totalsRowCount="1" headerRowDxfId="216" dataDxfId="217" totalsRowDxfId="215" totalsRowBorderDxfId="214">
  <autoFilter ref="A1:I11" xr:uid="{EA034C2A-21DA-FE4C-B727-0B4949AEEA5F}"/>
  <tableColumns count="9">
    <tableColumn id="1" xr3:uid="{4D91034C-D065-0143-A8E3-D5E8875A6278}" name="Test Case ID" totalsRowLabel="Total" dataDxfId="226" totalsRowDxfId="213">
      <calculatedColumnFormula>"CONF-"&amp;TEXT(ROW()-1,"000")</calculatedColumnFormula>
    </tableColumn>
    <tableColumn id="2" xr3:uid="{12F6E312-24E7-2849-B1C6-A83DED4E2934}" name="Feature / Scenario" dataDxfId="225" totalsRowDxfId="212"/>
    <tableColumn id="3" xr3:uid="{B96D9DA9-935E-AA4D-A544-069324E0E6A7}" name="Pre-conditions" dataDxfId="224" totalsRowDxfId="211"/>
    <tableColumn id="4" xr3:uid="{B1EE0180-298C-5F4F-9096-9DF061364B89}" name="Test Steps" dataDxfId="223" totalsRowDxfId="210"/>
    <tableColumn id="5" xr3:uid="{F4F3365C-190F-9242-B1CA-81D655ABA853}" name="Expected Result" dataDxfId="222" totalsRowDxfId="209"/>
    <tableColumn id="6" xr3:uid="{020B8A41-10F1-CA48-869D-105F3E1581A7}" name="Actual Result" dataDxfId="221" totalsRowDxfId="208"/>
    <tableColumn id="7" xr3:uid="{82F3AF65-DF5C-1640-836E-B862F46A3688}" name="Pass / Fail" totalsRowFunction="custom" dataDxfId="220" totalsRowDxfId="207">
      <totalsRowFormula>COUNTA(G2:G11)&amp;" of "&amp;COUNTA(A2:A11)&amp;" completed"</totalsRowFormula>
    </tableColumn>
    <tableColumn id="8" xr3:uid="{C3FA0C3E-4165-9E45-8598-3B22B955ED45}" name="Type (New/Regression)" dataDxfId="219" totalsRowDxfId="206"/>
    <tableColumn id="9" xr3:uid="{01C30F31-0A69-E24C-9524-949DC03083EC}" name="Notes / Questions" totalsRowFunction="count" dataDxfId="218" totalsRowDxfId="205"/>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9E7153-2512-6D4C-9BB8-6E522E5B3744}" name="ConferenceTests10" displayName="ConferenceTests10" ref="A1:I12" totalsRowCount="1" headerRowDxfId="137" dataDxfId="136" totalsRowDxfId="135" totalsRowBorderDxfId="134">
  <autoFilter ref="A1:I11" xr:uid="{EA034C2A-21DA-FE4C-B727-0B4949AEEA5F}"/>
  <tableColumns count="9">
    <tableColumn id="1" xr3:uid="{BD45795E-5E6D-0B49-9130-AA7571009D48}" name="Test Case ID" totalsRowLabel="Total" dataDxfId="125" totalsRowDxfId="124">
      <calculatedColumnFormula>"CE-"&amp;TEXT(ROW()-1,"000")</calculatedColumnFormula>
    </tableColumn>
    <tableColumn id="2" xr3:uid="{9B895B49-D8FE-E14C-928A-AEF0A5411848}" name="Feature / Scenario" dataDxfId="133" totalsRowDxfId="123"/>
    <tableColumn id="3" xr3:uid="{211794D3-E51D-884C-9F23-44784C5F7EC3}" name="Pre-conditions" dataDxfId="132" totalsRowDxfId="122"/>
    <tableColumn id="4" xr3:uid="{5CA90FF3-08DB-AA45-974B-F25EE126987C}" name="Test Steps" dataDxfId="131" totalsRowDxfId="121"/>
    <tableColumn id="5" xr3:uid="{4858010D-6417-5E47-ACCA-CECA41F2959A}" name="Expected Result" dataDxfId="130" totalsRowDxfId="120"/>
    <tableColumn id="6" xr3:uid="{523B90BE-DAEF-3647-BE02-2D3A3F6A2473}" name="Actual Result" dataDxfId="129" totalsRowDxfId="119"/>
    <tableColumn id="7" xr3:uid="{2682EED7-704A-4744-AC76-83925A13FD91}" name="Pass / Fail" totalsRowFunction="custom" dataDxfId="128" totalsRowDxfId="118">
      <totalsRowFormula>COUNTA(G2:G11)&amp;" of "&amp;COUNTA(A2:A11)&amp;" completed"</totalsRowFormula>
    </tableColumn>
    <tableColumn id="8" xr3:uid="{81B75E95-D044-3F4D-ACA2-DC9350900528}" name="Type (New/Regression)" dataDxfId="127" totalsRowDxfId="117"/>
    <tableColumn id="9" xr3:uid="{0E770DD8-D1F4-C345-B5F7-95719F25FE53}" name="Notes / Questions" totalsRowFunction="count" dataDxfId="126" totalsRowDxfId="116"/>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FA429D-4A9D-6940-B237-9CF255E12731}" name="TeacherSeminarTests" displayName="TeacherSeminarTests" ref="A1:I12" totalsRowCount="1" headerRowDxfId="194" dataDxfId="195" totalsRowDxfId="193" totalsRowBorderDxfId="192">
  <autoFilter ref="A1:I11" xr:uid="{46FA429D-4A9D-6940-B237-9CF255E12731}"/>
  <tableColumns count="9">
    <tableColumn id="1" xr3:uid="{08751D6A-FE31-6A4D-8FFE-5CEF480AF5E8}" name="Test Case ID" totalsRowLabel="Total" dataDxfId="204" totalsRowDxfId="191">
      <calculatedColumnFormula>"TS-"&amp;TEXT(ROW()-1,"000")</calculatedColumnFormula>
    </tableColumn>
    <tableColumn id="2" xr3:uid="{72702809-0C6E-1A40-948F-21167B922564}" name="Feature / Scenario" dataDxfId="203" totalsRowDxfId="190"/>
    <tableColumn id="3" xr3:uid="{BB192D48-7A29-5A49-B755-65413BF3D57A}" name="Pre-conditions" dataDxfId="202" totalsRowDxfId="189"/>
    <tableColumn id="4" xr3:uid="{4404CF9F-2717-CA4E-9FBF-B277ED5C843B}" name="Test Steps" dataDxfId="201" totalsRowDxfId="188"/>
    <tableColumn id="5" xr3:uid="{1DDF46E0-1153-924C-8D4D-9993A2D71AC7}" name="Expected Result" dataDxfId="200" totalsRowDxfId="187"/>
    <tableColumn id="6" xr3:uid="{E082C28D-DF97-E141-ADD2-4EBCBE71CE1D}" name="Actual Result" dataDxfId="199" totalsRowDxfId="186"/>
    <tableColumn id="7" xr3:uid="{D5F64813-C729-F24A-8331-CCC4AD8E746E}" name="Pass / Fail" totalsRowFunction="custom" dataDxfId="198" totalsRowDxfId="185">
      <totalsRowFormula>COUNTA(G2:G11)&amp;" of "&amp;COUNTA(A2:A11)&amp;" completed"</totalsRowFormula>
    </tableColumn>
    <tableColumn id="8" xr3:uid="{2537BDB6-038B-E54D-9E97-67D15006F2A3}" name="Type (New/Regression)" dataDxfId="197" totalsRowDxfId="184"/>
    <tableColumn id="9" xr3:uid="{2F7168F5-A4A4-6D43-AB1C-A63579D7A95F}" name="Notes / Questions" totalsRowFunction="count" dataDxfId="196" totalsRowDxfId="183"/>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E9048FA-14C7-654D-B77B-389E7E80C1CE}" name="LiveInfoTests" displayName="LiveInfoTests" ref="A1:I12" totalsRowCount="1" headerRowDxfId="172" dataDxfId="173" totalsRowDxfId="171" totalsRowBorderDxfId="170">
  <autoFilter ref="A1:I11" xr:uid="{5E9048FA-14C7-654D-B77B-389E7E80C1CE}"/>
  <tableColumns count="9">
    <tableColumn id="1" xr3:uid="{172F9142-BF3B-AD4D-90C7-7F4FC4DB3B7E}" name="Test Case ID" totalsRowLabel="Total" dataDxfId="182" totalsRowDxfId="169">
      <calculatedColumnFormula>"LI-"&amp;TEXT(ROW()-1,"000")</calculatedColumnFormula>
    </tableColumn>
    <tableColumn id="2" xr3:uid="{CB7248D8-C007-164F-825D-66189AD9921A}" name="Feature / Scenario" dataDxfId="181" totalsRowDxfId="168"/>
    <tableColumn id="3" xr3:uid="{15C9A4A6-A19B-4546-8F76-CD53D8C362C9}" name="Pre-conditions" dataDxfId="180" totalsRowDxfId="167"/>
    <tableColumn id="4" xr3:uid="{B8054E5E-7E31-C945-B7A0-CFABF8F56134}" name="Test Steps" dataDxfId="179" totalsRowDxfId="166"/>
    <tableColumn id="5" xr3:uid="{9F5CC88B-8D3A-794E-9CD3-C4AE1F32DC73}" name="Expected Result" dataDxfId="178" totalsRowDxfId="165"/>
    <tableColumn id="6" xr3:uid="{30D0FAA3-64D4-8D49-BB35-18F0D3946CF8}" name="Actual Result" dataDxfId="177" totalsRowDxfId="164"/>
    <tableColumn id="7" xr3:uid="{78027F4C-E651-6D47-8F76-1D2AA3F7658E}" name="Pass / Fail" totalsRowFunction="custom" dataDxfId="176" totalsRowDxfId="163">
      <totalsRowFormula>COUNTA(G2:G11)&amp;" of "&amp;COUNTA(A2:A11)&amp;" completed"</totalsRowFormula>
    </tableColumn>
    <tableColumn id="8" xr3:uid="{78EE84FC-CF36-6043-9275-279E1A2962E3}" name="Type (New/Regression)" dataDxfId="175" totalsRowDxfId="162"/>
    <tableColumn id="9" xr3:uid="{F3F9E3EF-7A83-2B4C-94C2-9A475837E264}" name="Notes / Questions" totalsRowFunction="count" dataDxfId="174" totalsRowDxfId="161"/>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5D8C47-25AA-5D4C-AAD0-E4612145A361}" name="EnquiryTests3" displayName="EnquiryTests3" ref="A1:I12" totalsRowCount="1" headerRowDxfId="274" totalsRowDxfId="273" headerRowBorderDxfId="271" tableBorderDxfId="272">
  <autoFilter ref="A1:I11" xr:uid="{4EC3FA6F-B436-D248-87AB-864E4407C5FC}"/>
  <tableColumns count="9">
    <tableColumn id="1" xr3:uid="{1929D63B-CB44-344C-8C80-266B913433A9}" name="Test Case ID" totalsRowLabel="Total" dataDxfId="250" totalsRowDxfId="87">
      <calculatedColumnFormula>"XC01-"&amp;TEXT(ROW()-1,"000")</calculatedColumnFormula>
    </tableColumn>
    <tableColumn id="2" xr3:uid="{1456CBB5-DB48-3743-9F4B-18F0F65719D4}" name="Feature / Scenario" dataDxfId="270" totalsRowDxfId="86"/>
    <tableColumn id="3" xr3:uid="{19341ABC-F40B-4449-B4B7-B379FD26A6BD}" name="Pre-conditions" dataDxfId="269" totalsRowDxfId="85"/>
    <tableColumn id="4" xr3:uid="{AA215826-DA41-AC43-9A20-C3E77599B47F}" name="Test Steps" dataDxfId="268" totalsRowDxfId="84"/>
    <tableColumn id="5" xr3:uid="{288537C9-2038-5245-B5F2-80FF40DE671C}" name="Expected Result" dataDxfId="267" totalsRowDxfId="83"/>
    <tableColumn id="6" xr3:uid="{3F03352E-6152-A140-8625-C60596659E47}" name="Actual Result" dataDxfId="266" totalsRowDxfId="82"/>
    <tableColumn id="7" xr3:uid="{451D6C8B-AD1A-A942-B4AE-E02D11C4BD75}" name="Pass / Fail" totalsRowFunction="custom" dataDxfId="265" totalsRowDxfId="81">
      <totalsRowFormula>COUNTA(G2:G11)&amp;" of "&amp;COUNTA(A2:A11)&amp;" completed"</totalsRowFormula>
    </tableColumn>
    <tableColumn id="8" xr3:uid="{3DC7922A-C65A-F14C-81C5-A44BDABAFA57}" name="Type (New/Regression)" dataDxfId="264" totalsRowDxfId="80"/>
    <tableColumn id="9" xr3:uid="{2508DBD7-CF4D-8A40-A6A8-F05842693D2B}" name="Notes / Questions" totalsRowFunction="count" dataDxfId="263" totalsRowDxfId="79"/>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201614-7C15-5C46-9D2F-BBF28CFDC303}" name="EnquiryTests4" displayName="EnquiryTests4" ref="A1:I12" totalsRowCount="1" headerRowDxfId="262" totalsRowDxfId="261" headerRowBorderDxfId="259" tableBorderDxfId="260">
  <autoFilter ref="A1:I11" xr:uid="{4EC3FA6F-B436-D248-87AB-864E4407C5FC}"/>
  <tableColumns count="9">
    <tableColumn id="1" xr3:uid="{858C31F5-3D6B-6C4D-A29B-83C64BE57904}" name="Test Case ID" totalsRowLabel="Total" dataDxfId="249" totalsRowDxfId="248">
      <calculatedColumnFormula>"XC02-"&amp;TEXT(ROW()-1,"000")</calculatedColumnFormula>
    </tableColumn>
    <tableColumn id="2" xr3:uid="{8D1CB58C-AAE0-7843-AA2A-8665530C4E65}" name="Feature / Scenario" dataDxfId="258" totalsRowDxfId="247"/>
    <tableColumn id="3" xr3:uid="{A61266DC-DBA7-4B40-A5A8-58280E327E90}" name="Pre-conditions" dataDxfId="257" totalsRowDxfId="246"/>
    <tableColumn id="4" xr3:uid="{917A6B8D-41F1-EF49-8C76-349F3390990C}" name="Test Steps" dataDxfId="256" totalsRowDxfId="245"/>
    <tableColumn id="5" xr3:uid="{90F3085B-2224-3949-8CF2-BA209EA062EF}" name="Expected Result" dataDxfId="255" totalsRowDxfId="244"/>
    <tableColumn id="6" xr3:uid="{82978BC6-F9EF-234C-A046-F98166E732D6}" name="Actual Result" dataDxfId="254" totalsRowDxfId="243"/>
    <tableColumn id="7" xr3:uid="{58ED45E7-206B-9C44-A86C-00DE3CCF276D}" name="Pass / Fail" totalsRowFunction="custom" dataDxfId="253" totalsRowDxfId="242">
      <totalsRowFormula>COUNTA(G2:G11)&amp;" of "&amp;COUNTA(A2:A11)&amp;" completed"</totalsRowFormula>
    </tableColumn>
    <tableColumn id="8" xr3:uid="{5294DF05-CF97-A641-B6AF-B31AF2673478}" name="Type (New/Regression)" dataDxfId="252" totalsRowDxfId="241"/>
    <tableColumn id="9" xr3:uid="{FDD06A63-FCF1-E54A-BD8E-0CA5EE8FFC90}" name="Notes / Questions" totalsRowFunction="count" dataDxfId="251" totalsRowDxfId="24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20B6A6E-276C-8E41-A8F6-5B719A5B77E9}">
  <we:reference id="wa200009404" version="1.0.0.8" store="en-US" storeType="OMEX"/>
  <we:alternateReferences>
    <we:reference id="wa200009404" version="1.0.0.8"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FDD98-FA18-9141-8572-832E4AB20792}">
  <sheetPr>
    <tabColor rgb="FFE4DCD5"/>
  </sheetPr>
  <dimension ref="A1:P23"/>
  <sheetViews>
    <sheetView showGridLines="0" zoomScale="115" workbookViewId="0">
      <selection activeCell="A6" sqref="A6:B6"/>
    </sheetView>
  </sheetViews>
  <sheetFormatPr baseColWidth="10" defaultRowHeight="16" outlineLevelCol="1"/>
  <cols>
    <col min="1" max="1" width="41.6640625" customWidth="1"/>
    <col min="2" max="2" width="8" customWidth="1"/>
    <col min="3" max="3" width="22.5" bestFit="1" customWidth="1"/>
    <col min="4" max="4" width="9.1640625" customWidth="1"/>
    <col min="5" max="5" width="8.33203125" customWidth="1"/>
    <col min="6" max="7" width="9.1640625" customWidth="1"/>
    <col min="8" max="8" width="16.6640625" customWidth="1"/>
    <col min="9" max="9" width="11.6640625" customWidth="1"/>
    <col min="10" max="10" width="13.33203125" customWidth="1"/>
    <col min="12" max="16" width="10.83203125" outlineLevel="1"/>
  </cols>
  <sheetData>
    <row r="1" spans="1:16" ht="36" customHeight="1">
      <c r="A1" s="10" t="s">
        <v>9</v>
      </c>
      <c r="B1" s="10"/>
      <c r="C1" s="10"/>
      <c r="D1" s="10"/>
      <c r="E1" s="10"/>
      <c r="F1" s="10"/>
      <c r="G1" s="10"/>
      <c r="H1" s="10"/>
      <c r="I1" s="10"/>
      <c r="J1" s="10"/>
    </row>
    <row r="2" spans="1:16">
      <c r="A2" s="11" t="s">
        <v>10</v>
      </c>
      <c r="B2" s="11"/>
      <c r="C2" s="11"/>
      <c r="D2" s="11"/>
      <c r="E2" s="11"/>
      <c r="F2" s="11"/>
      <c r="G2" s="11"/>
      <c r="H2" s="11"/>
      <c r="I2" s="11"/>
      <c r="J2" s="11"/>
    </row>
    <row r="3" spans="1:16" ht="8" customHeight="1">
      <c r="A3" s="4"/>
      <c r="B3" s="4"/>
      <c r="C3" s="4"/>
      <c r="D3" s="4"/>
      <c r="E3" s="4"/>
      <c r="F3" s="4"/>
      <c r="G3" s="4"/>
      <c r="H3" s="4"/>
      <c r="I3" s="4"/>
      <c r="J3" s="4"/>
    </row>
    <row r="4" spans="1:16" ht="20" customHeight="1">
      <c r="A4" s="12" t="s">
        <v>13</v>
      </c>
      <c r="B4" s="12"/>
      <c r="C4" s="53" t="s">
        <v>14</v>
      </c>
      <c r="D4" s="12"/>
      <c r="E4" s="54" t="s">
        <v>15</v>
      </c>
      <c r="F4" s="55" t="s">
        <v>16</v>
      </c>
      <c r="G4" s="13" t="s">
        <v>17</v>
      </c>
      <c r="H4" s="12" t="s">
        <v>18</v>
      </c>
      <c r="I4" s="12"/>
      <c r="J4" s="13" t="s">
        <v>19</v>
      </c>
    </row>
    <row r="5" spans="1:16" ht="4" customHeight="1">
      <c r="A5" s="3"/>
      <c r="B5" s="3"/>
      <c r="C5" s="3"/>
      <c r="D5" s="3"/>
      <c r="E5" s="3"/>
      <c r="F5" s="3"/>
      <c r="G5" s="3"/>
      <c r="H5" s="3"/>
      <c r="I5" s="3"/>
      <c r="J5" s="3"/>
    </row>
    <row r="6" spans="1:16" ht="40" customHeight="1">
      <c r="A6" s="14">
        <f>(COUNTA('TC-01 Bulk Upload'!A2:A197)-COUNTIF('TC-01 Bulk Upload'!A2:A197,"Total")-COUNTIF('TC-01 Bulk Upload'!A2:A197,"TOTALS"))+(COUNTA('TC-02 Enquiry'!A2:A207)-COUNTIF('TC-02 Enquiry'!A2:A207,"Total")-COUNTIF('TC-02 Enquiry'!A2:A207,"TOTALS"))+(COUNTA('TC-03 More Info'!A2:A204)-COUNTIF('TC-03 More Info'!A2:A204,"Total")-COUNTIF('TC-03 More Info'!A2:A204,"TOTALS"))+(COUNTA('TC-04 Conference'!A2:A200)-COUNTIF('TC-04 Conference'!A2:A200,"Total")-COUNTIF('TC-04 Conference'!A2:A200,"TOTALS"))+(COUNTA('TC-05 Conference Enquiry'!A2:A200)-COUNTIF('TC-05 Conference Enquiry'!A2:A200,"Total")-COUNTIF('TC-05 Conference Enquiry'!A2:A200,"TOTALS"))+(COUNTA('TC-06 Teacher Seminar'!A2:A200)-COUNTIF('TC-06 Teacher Seminar'!A2:A200,"Total")-COUNTIF('TC-06 Teacher Seminar'!A2:A200,"TOTALS"))+(COUNTA('TC-07 Live Info'!A2:A200)-COUNTIF('TC-07 Live Info'!A2:A200,"Total")-COUNTIF('TC-07 Live Info'!A2:A200,"TOTALS"))+(COUNTA('XC-01 Enquiry Prospect Flow'!A2:A200)-COUNTIF('XC-01 Enquiry Prospect Flow'!A2:A200,"Total")-COUNTIF('XC-01 Enquiry Prospect Flow'!A2:A200,"TOTALS"))+(COUNTA('XC-02 Lead Flow'!A2:A200)-COUNTIF('XC-02 Lead Flow'!A2:A200,"Total")-COUNTIF('XC-02 Lead Flow'!A2:A200,"TOTALS"))</f>
        <v>99</v>
      </c>
      <c r="B6" s="14"/>
      <c r="C6" s="51">
        <f>COUNTIF('TC-01 Bulk Upload'!G:G,"Pass")+COUNTIF('TC-02 Enquiry'!G:G,"Pass")+COUNTIF('TC-03 More Info'!G:G,"Pass")+COUNTIF('TC-04 Conference'!G:G,"Pass")+COUNTIF('TC-05 Conference Enquiry'!G:G,"Pass")+COUNTIF('TC-06 Teacher Seminar'!G:G,"Pass")+COUNTIF('TC-07 Live Info'!G:G,"Pass")+COUNTIF('XC-01 Enquiry Prospect Flow'!G:G,"Pass")+COUNTIF('XC-02 Lead Flow'!G:G,"Pass")</f>
        <v>0</v>
      </c>
      <c r="D6" s="14"/>
      <c r="E6" s="16">
        <f>COUNTIF('TC-01 Bulk Upload'!G:G,"Fail")+COUNTIF('TC-02 Enquiry'!G:G,"Fail")+COUNTIF('TC-03 More Info'!G:G,"Fail")+COUNTIF('TC-04 Conference'!G:G,"Fail")+COUNTIF('TC-05 Conference Enquiry'!G:G,"Fail")+COUNTIF('TC-06 Teacher Seminar'!G:G,"Fail")+COUNTIF('TC-07 Live Info'!G:G,"Fail")+COUNTIF('XC-01 Enquiry Prospect Flow'!G:G,"Fail")+COUNTIF('XC-02 Lead Flow'!G:G,"Fail")</f>
        <v>2</v>
      </c>
      <c r="F6" s="52">
        <f>COUNTIF('TC-01 Bulk Upload'!G:G,"Blocked")+COUNTIF('TC-02 Enquiry'!G:G,"Blocked")+COUNTIF('TC-03 More Info'!G:G,"Blocked")+COUNTIF('TC-04 Conference'!G:G,"Blocked")+COUNTIF('TC-05 Conference Enquiry'!G:G,"Blocked")+COUNTIF('TC-06 Teacher Seminar'!G:G,"Blocked")+COUNTIF('TC-07 Live Info'!G:G,"Blocked")+COUNTIF('XC-01 Enquiry Prospect Flow'!G:G,"Blocked")+COUNTIF('XC-02 Lead Flow'!G:G,"Blocked")</f>
        <v>0</v>
      </c>
      <c r="G6" s="15">
        <f>A6-C6-E6-F6</f>
        <v>97</v>
      </c>
      <c r="H6" s="17">
        <f>IF(A6=0,0,(C6+E6+F6)/A6)</f>
        <v>2.0202020202020204E-2</v>
      </c>
      <c r="I6" s="17"/>
      <c r="J6" s="18">
        <f>IF((C6+E6)=0,0,C6/(C6+E6))</f>
        <v>0</v>
      </c>
    </row>
    <row r="7" spans="1:16" ht="12" customHeight="1">
      <c r="A7" s="4"/>
      <c r="B7" s="4"/>
      <c r="C7" s="4"/>
      <c r="D7" s="4"/>
      <c r="E7" s="4"/>
      <c r="F7" s="4"/>
      <c r="G7" s="4"/>
      <c r="H7" s="4"/>
      <c r="I7" s="4"/>
      <c r="J7" s="4"/>
    </row>
    <row r="8" spans="1:16" ht="24" customHeight="1">
      <c r="A8" s="20" t="s">
        <v>20</v>
      </c>
      <c r="B8" s="19" t="s">
        <v>12</v>
      </c>
      <c r="C8" s="19" t="s">
        <v>21</v>
      </c>
      <c r="D8" s="39" t="s">
        <v>22</v>
      </c>
      <c r="E8" s="40" t="s">
        <v>23</v>
      </c>
      <c r="F8" s="41" t="s">
        <v>24</v>
      </c>
      <c r="G8" s="19" t="s">
        <v>25</v>
      </c>
      <c r="H8" s="19" t="s">
        <v>26</v>
      </c>
      <c r="I8" s="19" t="s">
        <v>27</v>
      </c>
      <c r="J8" s="19" t="s">
        <v>28</v>
      </c>
      <c r="L8" t="s">
        <v>20</v>
      </c>
      <c r="M8" t="s">
        <v>22</v>
      </c>
      <c r="N8" t="s">
        <v>23</v>
      </c>
      <c r="O8" t="s">
        <v>24</v>
      </c>
      <c r="P8" t="s">
        <v>25</v>
      </c>
    </row>
    <row r="9" spans="1:16" ht="24" customHeight="1">
      <c r="A9" s="22" t="s">
        <v>34</v>
      </c>
      <c r="B9" s="21">
        <f>COUNTA('TC-01 Bulk Upload'!A2:A197)-COUNTIF('TC-01 Bulk Upload'!A2:A197,"Total")-COUNTIF('TC-01 Bulk Upload'!A2:A197,"TOTALS")</f>
        <v>8</v>
      </c>
      <c r="C9" s="33" t="s">
        <v>35</v>
      </c>
      <c r="D9" s="42">
        <f>COUNTIF('TC-01 Bulk Upload'!G:G,"Pass")</f>
        <v>0</v>
      </c>
      <c r="E9" s="45">
        <f>COUNTIF('TC-01 Bulk Upload'!G:G,"Fail")</f>
        <v>2</v>
      </c>
      <c r="F9" s="48">
        <f>COUNTIF('TC-01 Bulk Upload'!G:G,"Blocked")</f>
        <v>0</v>
      </c>
      <c r="G9" s="21">
        <f>B9-D9-E9-F9</f>
        <v>6</v>
      </c>
      <c r="H9" s="23">
        <f>IF(B9=0,0,(D9+E9+F9)/B9)</f>
        <v>0.25</v>
      </c>
      <c r="I9" s="23">
        <f>IF(B9=0,0,(D9+E9+F9)/B9)</f>
        <v>0.25</v>
      </c>
      <c r="J9" s="21" t="str">
        <f>IF(I9=0,"Not Started",IF(I9&gt;=1,"Complete","In Progress"))</f>
        <v>In Progress</v>
      </c>
      <c r="L9" t="str">
        <f>A9</f>
        <v>1. Bulk Upload - Proactive Prospects</v>
      </c>
      <c r="M9">
        <f>D9</f>
        <v>0</v>
      </c>
      <c r="N9">
        <f>E9</f>
        <v>2</v>
      </c>
      <c r="O9">
        <f>F9</f>
        <v>0</v>
      </c>
      <c r="P9">
        <f>G9</f>
        <v>6</v>
      </c>
    </row>
    <row r="10" spans="1:16" ht="24" customHeight="1">
      <c r="A10" s="25" t="s">
        <v>36</v>
      </c>
      <c r="B10" s="24">
        <f>COUNTA('TC-02 Enquiry'!A2:A207)-COUNTIF('TC-02 Enquiry'!A2:A207,"Total")-COUNTIF('TC-02 Enquiry'!A2:A207,"TOTALS")</f>
        <v>17</v>
      </c>
      <c r="C10" s="34" t="s">
        <v>33</v>
      </c>
      <c r="D10" s="43">
        <f>COUNTIF('TC-02 Enquiry'!G:G,"Pass")</f>
        <v>0</v>
      </c>
      <c r="E10" s="46">
        <f>COUNTIF('TC-02 Enquiry'!G:G,"Fail")</f>
        <v>0</v>
      </c>
      <c r="F10" s="49">
        <f>COUNTIF('TC-02 Enquiry'!G:G,"Blocked")</f>
        <v>0</v>
      </c>
      <c r="G10" s="24">
        <f>B10-D10-E10-F10</f>
        <v>17</v>
      </c>
      <c r="H10" s="26">
        <f>IF(B10=0,0,(D10+E10+F10)/B10)</f>
        <v>0</v>
      </c>
      <c r="I10" s="26">
        <f>IF(B10=0,0,(D10+E10+F10)/B10)</f>
        <v>0</v>
      </c>
      <c r="J10" s="24" t="str">
        <f>IF(I10=0,"Not Started",IF(I10&gt;=1,"Complete","In Progress"))</f>
        <v>Not Started</v>
      </c>
      <c r="L10" t="str">
        <f>A10</f>
        <v>2. Enquiry Process — "Chat to us" (CJ1)</v>
      </c>
      <c r="M10">
        <f>D10</f>
        <v>0</v>
      </c>
      <c r="N10">
        <f>E10</f>
        <v>0</v>
      </c>
      <c r="O10">
        <f>F10</f>
        <v>0</v>
      </c>
      <c r="P10">
        <f>G10</f>
        <v>17</v>
      </c>
    </row>
    <row r="11" spans="1:16" ht="24" customHeight="1">
      <c r="A11" s="22" t="s">
        <v>37</v>
      </c>
      <c r="B11" s="21">
        <f>COUNTA('TC-03 More Info'!A2:A204)-COUNTIF('TC-03 More Info'!A2:A204,"Total")-COUNTIF('TC-03 More Info'!A2:A204,"TOTALS")</f>
        <v>14</v>
      </c>
      <c r="C11" s="33" t="s">
        <v>41</v>
      </c>
      <c r="D11" s="42">
        <f>COUNTIF('TC-03 More Info'!G:G,"Pass")</f>
        <v>0</v>
      </c>
      <c r="E11" s="45">
        <f>COUNTIF('TC-03 More Info'!G:G,"Fail")</f>
        <v>0</v>
      </c>
      <c r="F11" s="48">
        <f>COUNTIF('TC-03 More Info'!G:G,"Blocked")</f>
        <v>0</v>
      </c>
      <c r="G11" s="21">
        <f>B11-D11-E11-F11</f>
        <v>14</v>
      </c>
      <c r="H11" s="23">
        <f>IF(B11=0,0,(D11+E11+F11)/B11)</f>
        <v>0</v>
      </c>
      <c r="I11" s="23">
        <f>IF(B11=0,0,(D11+E11+F11)/B11)</f>
        <v>0</v>
      </c>
      <c r="J11" s="21" t="str">
        <f>IF(I11=0,"Not Started",IF(I11&gt;=1,"Complete","In Progress"))</f>
        <v>Not Started</v>
      </c>
      <c r="L11" t="str">
        <f>A11</f>
        <v>3. More Information Form - &gt;=500 &amp; &lt;500 (CJ1/CJ3a)</v>
      </c>
      <c r="M11">
        <f>D11</f>
        <v>0</v>
      </c>
      <c r="N11">
        <f>E11</f>
        <v>0</v>
      </c>
      <c r="O11">
        <f>F11</f>
        <v>0</v>
      </c>
      <c r="P11">
        <f>G11</f>
        <v>14</v>
      </c>
    </row>
    <row r="12" spans="1:16" ht="24" customHeight="1">
      <c r="A12" s="25" t="s">
        <v>38</v>
      </c>
      <c r="B12" s="24">
        <f>COUNTA('TC-04 Conference'!A2:A200)-COUNTIF('TC-04 Conference'!A2:A200,"Total")-COUNTIF('TC-04 Conference'!A2:A200,"TOTALS")</f>
        <v>10</v>
      </c>
      <c r="C12" s="34" t="s">
        <v>40</v>
      </c>
      <c r="D12" s="43">
        <f>COUNTIF('TC-04 Conference'!G:G,"Pass")</f>
        <v>0</v>
      </c>
      <c r="E12" s="46">
        <f>COUNTIF('TC-04 Conference'!G:G,"Fail")</f>
        <v>0</v>
      </c>
      <c r="F12" s="49">
        <f>COUNTIF('TC-04 Conference'!G:G,"Blocked")</f>
        <v>0</v>
      </c>
      <c r="G12" s="24">
        <f>B12-D12-E12-F12</f>
        <v>10</v>
      </c>
      <c r="H12" s="26">
        <f>IF(B12=0,0,(D12+E12+F12)/B12)</f>
        <v>0</v>
      </c>
      <c r="I12" s="26">
        <f>IF(B12=0,0,(D12+E12+F12)/B12)</f>
        <v>0</v>
      </c>
      <c r="J12" s="24" t="str">
        <f>IF(I12=0,"Not Started",IF(I12&gt;=1,"Complete","In Progress"))</f>
        <v>Not Started</v>
      </c>
      <c r="L12" t="str">
        <f>A12</f>
        <v>4. Conferences — Delegates, Prize Pack (CJ2b)</v>
      </c>
      <c r="M12">
        <f>D12</f>
        <v>0</v>
      </c>
      <c r="N12">
        <f>E12</f>
        <v>0</v>
      </c>
      <c r="O12">
        <f>F12</f>
        <v>0</v>
      </c>
      <c r="P12">
        <f>G12</f>
        <v>10</v>
      </c>
    </row>
    <row r="13" spans="1:16" ht="24" customHeight="1">
      <c r="A13" s="22" t="s">
        <v>43</v>
      </c>
      <c r="B13" s="21">
        <f>COUNTA('TC-05 Conference Enquiry'!A2:A200)-COUNTIF('TC-05 Conference Enquiry'!A2:A200,"Total")-COUNTIF('TC-05 Conference Enquiry'!A2:A200,"TOTALS")</f>
        <v>10</v>
      </c>
      <c r="C13" s="33" t="s">
        <v>50</v>
      </c>
      <c r="D13" s="42">
        <f>COUNTIF('TC-05 Conference Enquiry'!G:G,"Pass")</f>
        <v>0</v>
      </c>
      <c r="E13" s="45">
        <f>COUNTIF('TC-05 Conference Enquiry'!G:G,"Fail")</f>
        <v>0</v>
      </c>
      <c r="F13" s="48">
        <f>COUNTIF('TC-05 Conference Enquiry'!G:G,"Blocked")</f>
        <v>0</v>
      </c>
      <c r="G13" s="21">
        <f>B13-D13-E13-F13</f>
        <v>10</v>
      </c>
      <c r="H13" s="23">
        <f>IF(B13=0,0,(D13+E13+F13)/B13)</f>
        <v>0</v>
      </c>
      <c r="I13" s="23">
        <f>IF(B13=0,0,(D13+E13+F13)/B13)</f>
        <v>0</v>
      </c>
      <c r="J13" s="21" t="str">
        <f>IF(I13=0,"Not Started",IF(I13&gt;=1,"Complete","In Progress"))</f>
        <v>Not Started</v>
      </c>
      <c r="L13" t="str">
        <f>A13</f>
        <v>5. Conferences - Enquiry (CJ3c)</v>
      </c>
      <c r="M13">
        <f>D13</f>
        <v>0</v>
      </c>
      <c r="N13">
        <f>E13</f>
        <v>0</v>
      </c>
      <c r="O13">
        <f>F13</f>
        <v>0</v>
      </c>
      <c r="P13">
        <f>G13</f>
        <v>10</v>
      </c>
    </row>
    <row r="14" spans="1:16" ht="24" customHeight="1">
      <c r="A14" s="25" t="s">
        <v>44</v>
      </c>
      <c r="B14" s="24">
        <f>COUNTA('TC-06 Teacher Seminar'!A2:A200)-COUNTIF('TC-06 Teacher Seminar'!A2:A200,"Total")-COUNTIF('TC-06 Teacher Seminar'!A2:A200,"TOTALS")</f>
        <v>10</v>
      </c>
      <c r="C14" s="34" t="s">
        <v>49</v>
      </c>
      <c r="D14" s="43">
        <f>COUNTIF('TC-06 Teacher Seminar'!G:G,"Pass")</f>
        <v>0</v>
      </c>
      <c r="E14" s="46">
        <f>COUNTIF('TC-06 Teacher Seminar'!G:G,"Fail")</f>
        <v>0</v>
      </c>
      <c r="F14" s="49">
        <f>COUNTIF('TC-06 Teacher Seminar'!G:G,"Blocked")</f>
        <v>0</v>
      </c>
      <c r="G14" s="24">
        <f>B14-D14-E14-F14</f>
        <v>10</v>
      </c>
      <c r="H14" s="26">
        <f>IF(B14=0,0,(D14+E14+F14)/B14)</f>
        <v>0</v>
      </c>
      <c r="I14" s="26">
        <f>IF(B14=0,0,(D14+E14+F14)/B14)</f>
        <v>0</v>
      </c>
      <c r="J14" s="24" t="str">
        <f>IF(I14=0,"Not Started",IF(I14&gt;=1,"Complete","In Progress"))</f>
        <v>Not Started</v>
      </c>
      <c r="L14" t="str">
        <f>A14</f>
        <v>6. Teacher Seminar — Attendance (CJ3b)</v>
      </c>
      <c r="M14">
        <f>D14</f>
        <v>0</v>
      </c>
      <c r="N14">
        <f>E14</f>
        <v>0</v>
      </c>
      <c r="O14">
        <f>F14</f>
        <v>0</v>
      </c>
      <c r="P14">
        <f>G14</f>
        <v>10</v>
      </c>
    </row>
    <row r="15" spans="1:16" ht="24" customHeight="1">
      <c r="A15" s="22" t="s">
        <v>45</v>
      </c>
      <c r="B15" s="21">
        <f>COUNTA('TC-07 Live Info'!A2:A200)-COUNTIF('TC-07 Live Info'!A2:A200,"Total")-COUNTIF('TC-07 Live Info'!A2:A200,"TOTALS")</f>
        <v>10</v>
      </c>
      <c r="C15" s="33" t="s">
        <v>48</v>
      </c>
      <c r="D15" s="42">
        <f>COUNTIF('TC-07 Live Info'!G:G,"Pass")</f>
        <v>0</v>
      </c>
      <c r="E15" s="45">
        <f>COUNTIF('TC-07 Live Info'!G:G,"Fail")</f>
        <v>0</v>
      </c>
      <c r="F15" s="48">
        <f>COUNTIF('TC-07 Live Info'!G:G,"Blocked")</f>
        <v>0</v>
      </c>
      <c r="G15" s="21">
        <f>B15-D15-E15-F15</f>
        <v>10</v>
      </c>
      <c r="H15" s="23">
        <f>IF(B15=0,0,(D15+E15+F15)/B15)</f>
        <v>0</v>
      </c>
      <c r="I15" s="23">
        <f>IF(B15=0,0,(D15+E15+F15)/B15)</f>
        <v>0</v>
      </c>
      <c r="J15" s="21" t="str">
        <f>IF(I15=0,"Not Started",IF(I15&gt;=1,"Complete","In Progress"))</f>
        <v>Not Started</v>
      </c>
      <c r="L15" t="str">
        <f>A15</f>
        <v>7. Live Info Session — Registration (CJ3a/3b)</v>
      </c>
      <c r="M15">
        <f>D15</f>
        <v>0</v>
      </c>
      <c r="N15">
        <f>E15</f>
        <v>0</v>
      </c>
      <c r="O15">
        <f>F15</f>
        <v>0</v>
      </c>
      <c r="P15">
        <f>G15</f>
        <v>10</v>
      </c>
    </row>
    <row r="16" spans="1:16" ht="24" customHeight="1">
      <c r="A16" s="25" t="s">
        <v>46</v>
      </c>
      <c r="B16" s="24">
        <f>COUNTA('XC-01 Enquiry Prospect Flow'!A2:A200)-COUNTIF('XC-01 Enquiry Prospect Flow'!A2:A200,"Total")-COUNTIF('XC-01 Enquiry Prospect Flow'!A2:A200,"TOTALS")</f>
        <v>10</v>
      </c>
      <c r="C16" s="34" t="s">
        <v>191</v>
      </c>
      <c r="D16" s="43">
        <f>COUNTIF('XC-01 Enquiry Prospect Flow'!G:G,"Pass")</f>
        <v>0</v>
      </c>
      <c r="E16" s="46">
        <f>COUNTIF('XC-01 Enquiry Prospect Flow'!G:G,"Fail")</f>
        <v>0</v>
      </c>
      <c r="F16" s="49">
        <f>COUNTIF('XC-01 Enquiry Prospect Flow'!G:G,"Blocked")</f>
        <v>0</v>
      </c>
      <c r="G16" s="24">
        <f>B16-D16-E16-F16</f>
        <v>10</v>
      </c>
      <c r="H16" s="26">
        <f>IF(B16=0,0,(D16+E16+F16)/B16)</f>
        <v>0</v>
      </c>
      <c r="I16" s="26">
        <f>IF(B16=0,0,(D16+E16+F16)/B16)</f>
        <v>0</v>
      </c>
      <c r="J16" s="24" t="str">
        <f>IF(I16=0,"Not Started",IF(I16&gt;=1,"Complete","In Progress"))</f>
        <v>Not Started</v>
      </c>
      <c r="L16" t="str">
        <f>A16</f>
        <v>8. XC-01. Prospect Flow &gt;= 500 (Cross Cutting)</v>
      </c>
      <c r="M16">
        <f>D16</f>
        <v>0</v>
      </c>
      <c r="N16">
        <f>E16</f>
        <v>0</v>
      </c>
      <c r="O16">
        <f>F16</f>
        <v>0</v>
      </c>
      <c r="P16">
        <f>G16</f>
        <v>10</v>
      </c>
    </row>
    <row r="17" spans="1:16" ht="24" customHeight="1">
      <c r="A17" s="22" t="s">
        <v>47</v>
      </c>
      <c r="B17" s="21">
        <f>COUNTA('XC-02 Lead Flow'!A2:A200)-COUNTIF('XC-02 Lead Flow'!A2:A200,"Total")-COUNTIF('XC-02 Lead Flow'!A2:A200,"TOTALS")</f>
        <v>10</v>
      </c>
      <c r="C17" s="33" t="s">
        <v>39</v>
      </c>
      <c r="D17" s="42">
        <f>COUNTIF('XC-02 Lead Flow'!G:G,"Pass")</f>
        <v>0</v>
      </c>
      <c r="E17" s="45">
        <f>COUNTIF('XC-02 Lead Flow'!G:G,"Fail")</f>
        <v>0</v>
      </c>
      <c r="F17" s="48">
        <f>COUNTIF('XC-02 Lead Flow'!G:G,"Blocked")</f>
        <v>0</v>
      </c>
      <c r="G17" s="21">
        <f>B17-D17-E17-F17</f>
        <v>10</v>
      </c>
      <c r="H17" s="23">
        <f>IF(B17=0,0,(D17+E17+F17)/B17)</f>
        <v>0</v>
      </c>
      <c r="I17" s="23">
        <f>IF(B17=0,0,(D17+E17+F17)/B17)</f>
        <v>0</v>
      </c>
      <c r="J17" s="21" t="str">
        <f>IF(I17=0,"Not Started",IF(I17&gt;=1,"Complete","In Progress"))</f>
        <v>Not Started</v>
      </c>
      <c r="L17" t="str">
        <f>A17</f>
        <v>9. XC-02. Lead Flow &lt;500 (Cross Cutting)</v>
      </c>
      <c r="M17">
        <f>D17</f>
        <v>0</v>
      </c>
      <c r="N17">
        <f>E17</f>
        <v>0</v>
      </c>
      <c r="O17">
        <f>F17</f>
        <v>0</v>
      </c>
      <c r="P17">
        <f>G17</f>
        <v>10</v>
      </c>
    </row>
    <row r="18" spans="1:16" ht="26" customHeight="1">
      <c r="A18" s="27" t="s">
        <v>29</v>
      </c>
      <c r="B18" s="28">
        <f>SUM(B9:B17)</f>
        <v>99</v>
      </c>
      <c r="C18" s="28"/>
      <c r="D18" s="44">
        <f>SUM(D9:D17)</f>
        <v>0</v>
      </c>
      <c r="E18" s="47">
        <f>SUM(E9:E17)</f>
        <v>2</v>
      </c>
      <c r="F18" s="50">
        <f>SUM(F9:F17)</f>
        <v>0</v>
      </c>
      <c r="G18" s="28">
        <f>SUM(G9:G17)</f>
        <v>97</v>
      </c>
      <c r="H18" s="28"/>
      <c r="I18" s="29">
        <f>IF(B18=0,0,(D18+E18+F18)/B18)</f>
        <v>2.0202020202020204E-2</v>
      </c>
      <c r="J18" s="28" t="str">
        <f>IF(I18=0,"Not Started",IF(I18&gt;=1,"Complete","In Progress"))</f>
        <v>In Progress</v>
      </c>
    </row>
    <row r="19" spans="1:16" ht="12" customHeight="1">
      <c r="A19" s="4"/>
      <c r="B19" s="4"/>
      <c r="C19" s="4"/>
      <c r="D19" s="4"/>
      <c r="E19" s="4"/>
      <c r="F19" s="4"/>
      <c r="G19" s="4"/>
      <c r="H19" s="4"/>
      <c r="I19" s="4"/>
      <c r="J19" s="4"/>
    </row>
    <row r="20" spans="1:16">
      <c r="A20" s="31" t="s">
        <v>30</v>
      </c>
      <c r="B20" s="4"/>
      <c r="C20" s="4"/>
      <c r="D20" s="4"/>
      <c r="E20" s="4"/>
      <c r="F20" s="4"/>
      <c r="G20" s="4"/>
      <c r="H20" s="4"/>
      <c r="I20" s="4"/>
      <c r="J20" s="4"/>
    </row>
    <row r="21" spans="1:16">
      <c r="A21" s="30" t="s">
        <v>42</v>
      </c>
      <c r="B21" s="4"/>
      <c r="C21" s="4"/>
      <c r="D21" s="4"/>
      <c r="E21" s="4"/>
      <c r="F21" s="4"/>
      <c r="G21" s="4"/>
      <c r="H21" s="4"/>
      <c r="I21" s="4"/>
      <c r="J21" s="4"/>
    </row>
    <row r="22" spans="1:16">
      <c r="A22" s="30" t="s">
        <v>31</v>
      </c>
      <c r="B22" s="4"/>
      <c r="C22" s="4"/>
      <c r="D22" s="4"/>
      <c r="E22" s="4"/>
      <c r="F22" s="4"/>
      <c r="G22" s="4"/>
      <c r="H22" s="4"/>
      <c r="I22" s="4"/>
      <c r="J22" s="4"/>
    </row>
    <row r="23" spans="1:16">
      <c r="A23" s="30" t="s">
        <v>32</v>
      </c>
      <c r="B23" s="4"/>
      <c r="C23" s="4"/>
      <c r="D23" s="4"/>
      <c r="E23" s="4"/>
      <c r="F23" s="4"/>
      <c r="G23" s="4"/>
      <c r="H23" s="4"/>
      <c r="I23" s="4"/>
      <c r="J23" s="4"/>
    </row>
  </sheetData>
  <mergeCells count="8">
    <mergeCell ref="A1:J1"/>
    <mergeCell ref="A2:J2"/>
    <mergeCell ref="A4:B4"/>
    <mergeCell ref="C4:D4"/>
    <mergeCell ref="H4:I4"/>
    <mergeCell ref="A6:B6"/>
    <mergeCell ref="C6:D6"/>
    <mergeCell ref="H6:I6"/>
  </mergeCells>
  <conditionalFormatting sqref="H9:H18">
    <cfRule type="dataBar" priority="9">
      <dataBar showValue="0">
        <cfvo type="num" val="0"/>
        <cfvo type="num" val="1"/>
        <color rgb="FF8ED9E7"/>
      </dataBar>
      <extLst>
        <ext xmlns:x14="http://schemas.microsoft.com/office/spreadsheetml/2009/9/main" uri="{B025F937-C7B1-47D3-B67F-A62EFF666E3E}">
          <x14:id>{B2F91905-D273-6449-BCC9-17D5BFF18BEB}</x14:id>
        </ext>
      </extLst>
    </cfRule>
  </conditionalFormatting>
  <conditionalFormatting sqref="J9:J18">
    <cfRule type="containsText" dxfId="60" priority="10" operator="containsText" text="Not Started">
      <formula>NOT(ISERROR(SEARCH("Not Started",J9)))</formula>
    </cfRule>
  </conditionalFormatting>
  <conditionalFormatting sqref="J9:J18">
    <cfRule type="containsText" dxfId="59" priority="11" operator="containsText" text="In Progress">
      <formula>NOT(ISERROR(SEARCH("In Progress",J9)))</formula>
    </cfRule>
  </conditionalFormatting>
  <conditionalFormatting sqref="J9:J18">
    <cfRule type="containsText" dxfId="58" priority="12" operator="containsText" text="Complete">
      <formula>NOT(ISERROR(SEARCH("Complete",J9)))</formula>
    </cfRule>
  </conditionalFormatting>
  <hyperlinks>
    <hyperlink ref="C9" location="'TC-01 Bulk Upload'!A1" tooltip="Go to TC-01 Bulk Upload" display="TC-01 Bulk Upload" xr:uid="{65EEEE9B-2383-834D-A229-7A2579EF6151}"/>
    <hyperlink ref="C10" location="'TC-02 Enquiry'!A1" tooltip="Go to TC-02 Enquiry" display="TC-02 Enquiry" xr:uid="{33AB7243-B022-4D48-9FAC-D7D3EA0B0F71}"/>
    <hyperlink ref="C11" location="'TC-03 More Info'!A1" tooltip="Go to TC-03 More Info" display="TC-03 More Info" xr:uid="{636482AB-CF13-E94B-BC14-63E78B3C5401}"/>
    <hyperlink ref="C12" location="'TC-04 Conference'!A1" tooltip="Go to TC-04 Conference" display="TC-04 Conference" xr:uid="{C2224AE3-FC05-2D47-8981-75A32F0749AE}"/>
    <hyperlink ref="C13" location="'TC-05 Conference Enquiry'!A1" tooltip="Go to TC-05 Conference Enquiry" display="TC-05 Conference Enquiry" xr:uid="{F173ED32-164F-E545-964F-4D9994063E90}"/>
    <hyperlink ref="C14" location="'TC-06 Teacher Seminar'!A1" tooltip="Go to TC-06 Teacher Seminar" display="TC-06 Teacher Seminar" xr:uid="{DC7E0A0A-70AE-F949-BE14-DDD3B1809587}"/>
    <hyperlink ref="C15" location="'TC-07 Live Info'!A1" tooltip="Go to TC-07 Live Info" display="TC-07 Live Info" xr:uid="{4D9135E8-FCD4-CB4C-A17E-CABF1652E957}"/>
    <hyperlink ref="C16" location="'XC-01 Prospect Flow'!A1" tooltip="Go to XC-01 Prospect Flow" display="XC-01 Prospect Flow" xr:uid="{71C3EF90-B917-0848-AD9F-DB23D5B77931}"/>
    <hyperlink ref="C17" location="'XC-02 Lead Flow'!A1" tooltip="Go to XC-02 Lead Flow" display="XC-02 Lead Flow" xr:uid="{FC43E753-FEC0-E648-9C9C-6185D2ACE670}"/>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2F91905-D273-6449-BCC9-17D5BFF18BEB}">
            <x14:dataBar minLength="0" maxLength="100" border="1" direction="leftToRight" negativeBarColorSameAsPositive="1" axisPosition="none">
              <x14:cfvo type="num">
                <xm:f>0</xm:f>
              </x14:cfvo>
              <x14:cfvo type="num">
                <xm:f>1</xm:f>
              </x14:cfvo>
              <x14:borderColor rgb="FF00B0CA"/>
            </x14:dataBar>
          </x14:cfRule>
          <xm:sqref>H9:H18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D9FE3-C40E-5143-905E-DEF4D03CAF7B}">
  <sheetPr>
    <tabColor rgb="FF00B0CA"/>
  </sheetPr>
  <dimension ref="A1:I10"/>
  <sheetViews>
    <sheetView topLeftCell="B1" workbookViewId="0">
      <selection activeCell="G3" sqref="G3"/>
    </sheetView>
  </sheetViews>
  <sheetFormatPr baseColWidth="10" defaultRowHeight="16"/>
  <cols>
    <col min="1" max="1" width="17.1640625" bestFit="1" customWidth="1"/>
    <col min="2" max="2" width="22.1640625" bestFit="1" customWidth="1"/>
    <col min="3" max="3" width="48" bestFit="1" customWidth="1"/>
    <col min="4" max="4" width="33.33203125" bestFit="1" customWidth="1"/>
    <col min="5" max="5" width="65.33203125" bestFit="1" customWidth="1"/>
    <col min="6" max="6" width="18" bestFit="1" customWidth="1"/>
    <col min="7" max="7" width="15.6640625" bestFit="1" customWidth="1"/>
    <col min="8" max="8" width="27" bestFit="1" customWidth="1"/>
    <col min="9" max="9" width="22.1640625" bestFit="1" customWidth="1"/>
  </cols>
  <sheetData>
    <row r="1" spans="1:9">
      <c r="A1" s="32" t="s">
        <v>0</v>
      </c>
      <c r="B1" s="32" t="s">
        <v>1</v>
      </c>
      <c r="C1" s="32" t="s">
        <v>2</v>
      </c>
      <c r="D1" s="32" t="s">
        <v>3</v>
      </c>
      <c r="E1" s="32" t="s">
        <v>4</v>
      </c>
      <c r="F1" s="32" t="s">
        <v>5</v>
      </c>
      <c r="G1" s="32" t="s">
        <v>6</v>
      </c>
      <c r="H1" s="32" t="s">
        <v>7</v>
      </c>
      <c r="I1" s="32" t="s">
        <v>8</v>
      </c>
    </row>
    <row r="2" spans="1:9" ht="42">
      <c r="A2" s="8" t="str">
        <f>"BU-"&amp;TEXT(ROW()-1,"000")</f>
        <v>BU-001</v>
      </c>
      <c r="B2" s="6" t="s">
        <v>51</v>
      </c>
      <c r="C2" s="6" t="s">
        <v>52</v>
      </c>
      <c r="D2" s="6" t="s">
        <v>53</v>
      </c>
      <c r="E2" s="6" t="s">
        <v>54</v>
      </c>
      <c r="F2" s="6"/>
      <c r="G2" s="8" t="s">
        <v>11</v>
      </c>
      <c r="H2" s="8" t="s">
        <v>55</v>
      </c>
      <c r="I2" s="6"/>
    </row>
    <row r="3" spans="1:9" ht="112">
      <c r="A3" s="9" t="str">
        <f>"BU-"&amp;TEXT(ROW()-1,"000")</f>
        <v>BU-002</v>
      </c>
      <c r="B3" s="7" t="s">
        <v>56</v>
      </c>
      <c r="C3" s="7" t="s">
        <v>57</v>
      </c>
      <c r="D3" s="7" t="s">
        <v>75</v>
      </c>
      <c r="E3" s="7" t="s">
        <v>76</v>
      </c>
      <c r="F3" s="7"/>
      <c r="G3" s="9" t="s">
        <v>11</v>
      </c>
      <c r="H3" s="9" t="s">
        <v>55</v>
      </c>
      <c r="I3" s="7"/>
    </row>
    <row r="4" spans="1:9" ht="112">
      <c r="A4" s="8" t="str">
        <f>"BU-"&amp;TEXT(ROW()-1,"000")</f>
        <v>BU-003</v>
      </c>
      <c r="B4" s="6" t="s">
        <v>58</v>
      </c>
      <c r="C4" s="6" t="s">
        <v>59</v>
      </c>
      <c r="D4" s="6" t="s">
        <v>75</v>
      </c>
      <c r="E4" s="6" t="s">
        <v>76</v>
      </c>
      <c r="F4" s="6"/>
      <c r="G4" s="8"/>
      <c r="H4" s="8" t="s">
        <v>55</v>
      </c>
      <c r="I4" s="6"/>
    </row>
    <row r="5" spans="1:9" ht="70">
      <c r="A5" s="9" t="str">
        <f>"BU-"&amp;TEXT(ROW()-1,"000")</f>
        <v>BU-004</v>
      </c>
      <c r="B5" s="7" t="s">
        <v>60</v>
      </c>
      <c r="C5" s="7" t="s">
        <v>59</v>
      </c>
      <c r="D5" s="7" t="s">
        <v>73</v>
      </c>
      <c r="E5" s="7" t="s">
        <v>74</v>
      </c>
      <c r="F5" s="7"/>
      <c r="G5" s="9"/>
      <c r="H5" s="9" t="s">
        <v>55</v>
      </c>
      <c r="I5" s="7"/>
    </row>
    <row r="6" spans="1:9" ht="56">
      <c r="A6" s="8" t="str">
        <f>"BU-"&amp;TEXT(ROW()-1,"000")</f>
        <v>BU-005</v>
      </c>
      <c r="B6" s="6" t="s">
        <v>61</v>
      </c>
      <c r="C6" s="6" t="s">
        <v>62</v>
      </c>
      <c r="D6" s="6" t="s">
        <v>63</v>
      </c>
      <c r="E6" s="6" t="s">
        <v>64</v>
      </c>
      <c r="F6" s="6"/>
      <c r="G6" s="8"/>
      <c r="H6" s="8" t="s">
        <v>55</v>
      </c>
      <c r="I6" s="6"/>
    </row>
    <row r="7" spans="1:9" ht="84">
      <c r="A7" s="9" t="str">
        <f>"BU-"&amp;TEXT(ROW()-1,"000")</f>
        <v>BU-006</v>
      </c>
      <c r="B7" s="7" t="s">
        <v>65</v>
      </c>
      <c r="C7" s="7" t="s">
        <v>66</v>
      </c>
      <c r="D7" s="7" t="s">
        <v>78</v>
      </c>
      <c r="E7" s="7" t="s">
        <v>79</v>
      </c>
      <c r="F7" s="7"/>
      <c r="G7" s="9"/>
      <c r="H7" s="9" t="s">
        <v>55</v>
      </c>
      <c r="I7" s="7"/>
    </row>
    <row r="8" spans="1:9" ht="84">
      <c r="A8" s="8" t="str">
        <f>"BU-"&amp;TEXT(ROW()-1,"000")</f>
        <v>BU-007</v>
      </c>
      <c r="B8" s="6" t="s">
        <v>67</v>
      </c>
      <c r="C8" s="6" t="s">
        <v>66</v>
      </c>
      <c r="D8" s="6" t="s">
        <v>68</v>
      </c>
      <c r="E8" s="6" t="s">
        <v>77</v>
      </c>
      <c r="F8" s="6"/>
      <c r="G8" s="8"/>
      <c r="H8" s="8" t="s">
        <v>55</v>
      </c>
      <c r="I8" s="6"/>
    </row>
    <row r="9" spans="1:9" ht="70">
      <c r="A9" s="9" t="str">
        <f>"BU-"&amp;TEXT(ROW()-1,"000")</f>
        <v>BU-008</v>
      </c>
      <c r="B9" s="7" t="s">
        <v>69</v>
      </c>
      <c r="C9" s="7" t="s">
        <v>70</v>
      </c>
      <c r="D9" s="7" t="s">
        <v>71</v>
      </c>
      <c r="E9" s="7" t="s">
        <v>72</v>
      </c>
      <c r="F9" s="7"/>
      <c r="G9" s="9"/>
      <c r="H9" s="9" t="s">
        <v>55</v>
      </c>
      <c r="I9" s="7"/>
    </row>
    <row r="10" spans="1:9">
      <c r="A10" s="38" t="s">
        <v>12</v>
      </c>
      <c r="B10" s="38"/>
      <c r="C10" s="38"/>
      <c r="D10" s="38"/>
      <c r="E10" s="38"/>
      <c r="F10" s="38"/>
      <c r="G10" s="38" t="str">
        <f>COUNTA(G2:G9)&amp;" of "&amp;COUNTA(A2:A9)&amp;" completed"</f>
        <v>2 of 8 completed</v>
      </c>
      <c r="H10" s="38"/>
      <c r="I10" s="38"/>
    </row>
  </sheetData>
  <conditionalFormatting sqref="G2:G9">
    <cfRule type="containsText" dxfId="57" priority="1" operator="containsText" text="Pass">
      <formula>NOT(ISERROR(SEARCH("Pass",G2)))</formula>
    </cfRule>
  </conditionalFormatting>
  <conditionalFormatting sqref="G2:G9">
    <cfRule type="containsText" dxfId="56" priority="2" operator="containsText" text="Fail">
      <formula>NOT(ISERROR(SEARCH("Fail",G2)))</formula>
    </cfRule>
  </conditionalFormatting>
  <conditionalFormatting sqref="H2:H11">
    <cfRule type="containsText" dxfId="55" priority="3" operator="containsText" text="New">
      <formula>NOT(ISERROR(SEARCH("New",H2)))</formula>
    </cfRule>
  </conditionalFormatting>
  <conditionalFormatting sqref="H2:H11">
    <cfRule type="containsText" dxfId="54" priority="4" operator="containsText" text="Regression">
      <formula>NOT(ISERROR(SEARCH("Regression",H2)))</formula>
    </cfRule>
  </conditionalFormatting>
  <dataValidations count="2">
    <dataValidation type="list" allowBlank="1" showInputMessage="1" showErrorMessage="1" promptTitle="Test Result" prompt="Select Pass, Fail, or Blocked" sqref="G2:G9" xr:uid="{1AC32AA8-D9C5-1146-A63F-313BC021E4BB}">
      <formula1>"Pass,Fail,Blocked"</formula1>
    </dataValidation>
    <dataValidation type="list" allowBlank="1" showInputMessage="1" showErrorMessage="1" promptTitle="Test Type" prompt="Select New or Regression" sqref="H2:H9" xr:uid="{4DAA64EE-C4D7-1240-917C-962DCB1EADD0}">
      <formula1>"New,Regression"</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810FD-3850-CD4B-AE8C-B2DA1E7602AE}">
  <sheetPr>
    <tabColor rgb="FF00B0CA"/>
  </sheetPr>
  <dimension ref="A1:L19"/>
  <sheetViews>
    <sheetView topLeftCell="A3" zoomScale="92" workbookViewId="0">
      <selection activeCell="F12" sqref="F12"/>
    </sheetView>
  </sheetViews>
  <sheetFormatPr baseColWidth="10" defaultRowHeight="16"/>
  <cols>
    <col min="1" max="1" width="17.1640625" bestFit="1" customWidth="1"/>
    <col min="2" max="2" width="22.1640625" bestFit="1" customWidth="1"/>
    <col min="3" max="3" width="34.83203125" bestFit="1" customWidth="1"/>
    <col min="4" max="4" width="28.33203125" customWidth="1"/>
    <col min="5" max="5" width="47" bestFit="1" customWidth="1"/>
    <col min="6" max="6" width="18" bestFit="1" customWidth="1"/>
    <col min="7" max="7" width="15.6640625" bestFit="1" customWidth="1"/>
    <col min="8" max="8" width="27" bestFit="1" customWidth="1"/>
    <col min="9" max="9" width="22.1640625" bestFit="1" customWidth="1"/>
  </cols>
  <sheetData>
    <row r="1" spans="1:12">
      <c r="A1" s="2" t="s">
        <v>0</v>
      </c>
      <c r="B1" s="2" t="s">
        <v>1</v>
      </c>
      <c r="C1" s="2" t="s">
        <v>2</v>
      </c>
      <c r="D1" s="2" t="s">
        <v>3</v>
      </c>
      <c r="E1" s="2" t="s">
        <v>4</v>
      </c>
      <c r="F1" s="2" t="s">
        <v>5</v>
      </c>
      <c r="G1" s="2" t="s">
        <v>6</v>
      </c>
      <c r="H1" s="2" t="s">
        <v>7</v>
      </c>
      <c r="I1" s="2" t="s">
        <v>8</v>
      </c>
    </row>
    <row r="2" spans="1:12" ht="154">
      <c r="A2" s="8" t="str">
        <f>"ENQ-"&amp;TEXT(ROW()-1,"000")</f>
        <v>ENQ-001</v>
      </c>
      <c r="B2" s="6" t="s">
        <v>80</v>
      </c>
      <c r="C2" s="6" t="s">
        <v>81</v>
      </c>
      <c r="D2" s="6" t="s">
        <v>82</v>
      </c>
      <c r="E2" s="6" t="s">
        <v>83</v>
      </c>
      <c r="F2" s="6"/>
      <c r="G2" s="8"/>
      <c r="H2" s="8" t="s">
        <v>116</v>
      </c>
      <c r="I2" s="6"/>
    </row>
    <row r="3" spans="1:12" ht="98">
      <c r="A3" s="9" t="str">
        <f t="shared" ref="A3:A6" si="0">"ENQ-"&amp;TEXT(ROW()-1,"000")</f>
        <v>ENQ-002</v>
      </c>
      <c r="B3" s="7" t="s">
        <v>84</v>
      </c>
      <c r="C3" s="7" t="s">
        <v>85</v>
      </c>
      <c r="D3" s="7" t="s">
        <v>86</v>
      </c>
      <c r="E3" s="7" t="s">
        <v>87</v>
      </c>
      <c r="F3" s="7"/>
      <c r="G3" s="9"/>
      <c r="H3" s="9" t="s">
        <v>116</v>
      </c>
      <c r="I3" s="7"/>
      <c r="L3" s="1"/>
    </row>
    <row r="4" spans="1:12" ht="98">
      <c r="A4" s="8" t="str">
        <f>"ENQ-"&amp;TEXT(ROW()-1,"000")</f>
        <v>ENQ-003</v>
      </c>
      <c r="B4" s="6" t="s">
        <v>88</v>
      </c>
      <c r="C4" s="6" t="s">
        <v>89</v>
      </c>
      <c r="D4" s="6" t="s">
        <v>90</v>
      </c>
      <c r="E4" s="6" t="s">
        <v>91</v>
      </c>
      <c r="F4" s="6"/>
      <c r="G4" s="8"/>
      <c r="H4" s="8" t="s">
        <v>116</v>
      </c>
      <c r="I4" s="6"/>
      <c r="L4" s="1"/>
    </row>
    <row r="5" spans="1:12" ht="56">
      <c r="A5" s="9" t="str">
        <f>"ENQ-"&amp;TEXT(ROW()-1,"000")</f>
        <v>ENQ-004</v>
      </c>
      <c r="B5" s="7" t="s">
        <v>92</v>
      </c>
      <c r="C5" s="7" t="s">
        <v>93</v>
      </c>
      <c r="D5" s="7" t="s">
        <v>118</v>
      </c>
      <c r="E5" s="7" t="s">
        <v>117</v>
      </c>
      <c r="F5" s="7"/>
      <c r="G5" s="9"/>
      <c r="H5" s="9" t="s">
        <v>55</v>
      </c>
      <c r="I5" s="7"/>
      <c r="L5" s="1"/>
    </row>
    <row r="6" spans="1:12" ht="70">
      <c r="A6" s="8" t="str">
        <f t="shared" si="0"/>
        <v>ENQ-005</v>
      </c>
      <c r="B6" s="6" t="s">
        <v>94</v>
      </c>
      <c r="C6" s="6" t="s">
        <v>93</v>
      </c>
      <c r="D6" s="6" t="s">
        <v>95</v>
      </c>
      <c r="E6" s="6" t="s">
        <v>96</v>
      </c>
      <c r="F6" s="6"/>
      <c r="G6" s="8"/>
      <c r="H6" s="8" t="s">
        <v>116</v>
      </c>
      <c r="I6" s="6"/>
    </row>
    <row r="7" spans="1:12" ht="70">
      <c r="A7" s="9" t="str">
        <f t="shared" ref="A7:A11" si="1">"ENQ-"&amp;TEXT(ROW()-1,"000")</f>
        <v>ENQ-006</v>
      </c>
      <c r="B7" s="7" t="s">
        <v>97</v>
      </c>
      <c r="C7" s="7" t="s">
        <v>93</v>
      </c>
      <c r="D7" s="7" t="s">
        <v>98</v>
      </c>
      <c r="E7" s="7" t="s">
        <v>115</v>
      </c>
      <c r="F7" s="7"/>
      <c r="G7" s="9"/>
      <c r="H7" s="9" t="s">
        <v>116</v>
      </c>
      <c r="I7" s="7"/>
    </row>
    <row r="8" spans="1:12" ht="112">
      <c r="A8" s="8" t="str">
        <f t="shared" si="1"/>
        <v>ENQ-007</v>
      </c>
      <c r="B8" s="6" t="s">
        <v>99</v>
      </c>
      <c r="C8" s="6" t="s">
        <v>100</v>
      </c>
      <c r="D8" s="6" t="s">
        <v>101</v>
      </c>
      <c r="E8" s="6" t="s">
        <v>102</v>
      </c>
      <c r="F8" s="6"/>
      <c r="G8" s="8"/>
      <c r="H8" s="8" t="s">
        <v>116</v>
      </c>
      <c r="I8" s="6"/>
    </row>
    <row r="9" spans="1:12" ht="112">
      <c r="A9" s="9" t="str">
        <f t="shared" si="1"/>
        <v>ENQ-008</v>
      </c>
      <c r="B9" s="7" t="s">
        <v>103</v>
      </c>
      <c r="C9" s="7" t="s">
        <v>104</v>
      </c>
      <c r="D9" s="7" t="s">
        <v>105</v>
      </c>
      <c r="E9" s="7" t="s">
        <v>106</v>
      </c>
      <c r="F9" s="7"/>
      <c r="G9" s="9"/>
      <c r="H9" s="9" t="s">
        <v>116</v>
      </c>
      <c r="I9" s="7"/>
    </row>
    <row r="10" spans="1:12" ht="140">
      <c r="A10" s="8" t="str">
        <f>"ENQ-"&amp;TEXT(ROW()-1,"000")</f>
        <v>ENQ-009</v>
      </c>
      <c r="B10" s="6" t="s">
        <v>107</v>
      </c>
      <c r="C10" s="6" t="s">
        <v>108</v>
      </c>
      <c r="D10" s="6" t="s">
        <v>109</v>
      </c>
      <c r="E10" s="6" t="s">
        <v>110</v>
      </c>
      <c r="F10" s="6"/>
      <c r="G10" s="8"/>
      <c r="H10" s="8" t="s">
        <v>116</v>
      </c>
      <c r="I10" s="6"/>
    </row>
    <row r="11" spans="1:12" ht="98">
      <c r="A11" s="9" t="str">
        <f t="shared" si="1"/>
        <v>ENQ-010</v>
      </c>
      <c r="B11" s="7" t="s">
        <v>111</v>
      </c>
      <c r="C11" s="7" t="s">
        <v>112</v>
      </c>
      <c r="D11" s="7" t="s">
        <v>113</v>
      </c>
      <c r="E11" s="7" t="s">
        <v>114</v>
      </c>
      <c r="F11" s="7"/>
      <c r="G11" s="9"/>
      <c r="H11" s="9" t="s">
        <v>116</v>
      </c>
      <c r="I11" s="7"/>
    </row>
    <row r="12" spans="1:12" ht="98">
      <c r="A12" s="8" t="str">
        <f>"ENQ-"&amp;TEXT(ROW()-1,"000")</f>
        <v>ENQ-011</v>
      </c>
      <c r="B12" s="6" t="s">
        <v>119</v>
      </c>
      <c r="C12" s="6" t="s">
        <v>120</v>
      </c>
      <c r="D12" s="6" t="s">
        <v>121</v>
      </c>
      <c r="E12" s="6" t="s">
        <v>251</v>
      </c>
      <c r="F12" s="6"/>
      <c r="G12" s="8"/>
      <c r="H12" s="8" t="s">
        <v>116</v>
      </c>
      <c r="I12" s="6" t="s">
        <v>122</v>
      </c>
    </row>
    <row r="13" spans="1:12" ht="126">
      <c r="A13" s="9" t="str">
        <f>"ENQ-"&amp;TEXT(ROW()-1,"000")</f>
        <v>ENQ-012</v>
      </c>
      <c r="B13" s="7" t="s">
        <v>123</v>
      </c>
      <c r="C13" s="7" t="s">
        <v>124</v>
      </c>
      <c r="D13" s="7" t="s">
        <v>131</v>
      </c>
      <c r="E13" s="7" t="s">
        <v>130</v>
      </c>
      <c r="F13" s="7"/>
      <c r="G13" s="9"/>
      <c r="H13" s="9" t="s">
        <v>116</v>
      </c>
      <c r="I13" s="7" t="s">
        <v>125</v>
      </c>
    </row>
    <row r="14" spans="1:12" ht="70">
      <c r="A14" s="8" t="str">
        <f>"ENQ-"&amp;TEXT(ROW()-1,"000")</f>
        <v>ENQ-013</v>
      </c>
      <c r="B14" s="6" t="s">
        <v>126</v>
      </c>
      <c r="C14" s="6" t="s">
        <v>127</v>
      </c>
      <c r="D14" s="6" t="s">
        <v>128</v>
      </c>
      <c r="E14" s="6" t="s">
        <v>132</v>
      </c>
      <c r="F14" s="6"/>
      <c r="G14" s="8"/>
      <c r="H14" s="8" t="s">
        <v>116</v>
      </c>
      <c r="I14" s="6" t="s">
        <v>129</v>
      </c>
    </row>
    <row r="15" spans="1:12" ht="84">
      <c r="A15" s="9" t="str">
        <f>"ENQ-"&amp;TEXT(ROW()-1,"000")</f>
        <v>ENQ-014</v>
      </c>
      <c r="B15" s="7" t="s">
        <v>133</v>
      </c>
      <c r="C15" s="7" t="s">
        <v>134</v>
      </c>
      <c r="D15" s="7" t="s">
        <v>135</v>
      </c>
      <c r="E15" s="7" t="s">
        <v>136</v>
      </c>
      <c r="F15" s="7"/>
      <c r="G15" s="9"/>
      <c r="H15" s="9" t="s">
        <v>116</v>
      </c>
      <c r="I15" s="7"/>
    </row>
    <row r="16" spans="1:12" ht="70">
      <c r="A16" s="8" t="str">
        <f>"ENQ-"&amp;TEXT(ROW()-1,"000")</f>
        <v>ENQ-015</v>
      </c>
      <c r="B16" s="6" t="s">
        <v>137</v>
      </c>
      <c r="C16" s="6" t="s">
        <v>138</v>
      </c>
      <c r="D16" s="6" t="s">
        <v>139</v>
      </c>
      <c r="E16" s="6" t="s">
        <v>140</v>
      </c>
      <c r="F16" s="6"/>
      <c r="G16" s="8"/>
      <c r="H16" s="8" t="s">
        <v>116</v>
      </c>
      <c r="I16" s="6" t="s">
        <v>141</v>
      </c>
    </row>
    <row r="17" spans="1:9" ht="112">
      <c r="A17" s="9" t="str">
        <f>"ENQ-"&amp;TEXT(ROW()-1,"000")</f>
        <v>ENQ-016</v>
      </c>
      <c r="B17" s="7" t="s">
        <v>142</v>
      </c>
      <c r="C17" s="7" t="s">
        <v>143</v>
      </c>
      <c r="D17" s="7" t="s">
        <v>144</v>
      </c>
      <c r="E17" s="7" t="s">
        <v>145</v>
      </c>
      <c r="F17" s="7"/>
      <c r="G17" s="9"/>
      <c r="H17" s="9" t="s">
        <v>55</v>
      </c>
      <c r="I17" s="7" t="s">
        <v>146</v>
      </c>
    </row>
    <row r="18" spans="1:9" ht="70">
      <c r="A18" s="8" t="str">
        <f>"ENQ-"&amp;TEXT(ROW()-1,"000")</f>
        <v>ENQ-017</v>
      </c>
      <c r="B18" s="6" t="s">
        <v>147</v>
      </c>
      <c r="C18" s="6" t="s">
        <v>148</v>
      </c>
      <c r="D18" s="6" t="s">
        <v>149</v>
      </c>
      <c r="E18" s="6" t="s">
        <v>150</v>
      </c>
      <c r="F18" s="6"/>
      <c r="G18" s="8"/>
      <c r="H18" s="8" t="s">
        <v>116</v>
      </c>
      <c r="I18" s="6"/>
    </row>
    <row r="19" spans="1:9">
      <c r="A19" s="5" t="s">
        <v>12</v>
      </c>
      <c r="B19" s="5"/>
      <c r="C19" s="5"/>
      <c r="D19" s="5"/>
      <c r="E19" s="5"/>
      <c r="F19" s="5"/>
      <c r="G19" s="5" t="str">
        <f>COUNTA(EnquiryTests[Pass / Fail])&amp;" of "&amp;ROWS(EnquiryTests[Pass / Fail])&amp;" completed"</f>
        <v>0 of 17 completed</v>
      </c>
      <c r="H19" s="5"/>
      <c r="I19" s="5">
        <f>SUBTOTAL(103,EnquiryTests[Notes / Questions])</f>
        <v>5</v>
      </c>
    </row>
  </sheetData>
  <conditionalFormatting sqref="G2:G18">
    <cfRule type="containsText" dxfId="53" priority="1" operator="containsText" text="Pass">
      <formula>NOT(ISERROR(SEARCH("Pass",G2)))</formula>
    </cfRule>
  </conditionalFormatting>
  <conditionalFormatting sqref="G2:G18">
    <cfRule type="containsText" dxfId="52" priority="2" operator="containsText" text="Fail">
      <formula>NOT(ISERROR(SEARCH("Fail",G2)))</formula>
    </cfRule>
  </conditionalFormatting>
  <conditionalFormatting sqref="H2:H18">
    <cfRule type="containsText" dxfId="51" priority="3" operator="containsText" text="New">
      <formula>NOT(ISERROR(SEARCH("New",H2)))</formula>
    </cfRule>
  </conditionalFormatting>
  <conditionalFormatting sqref="H2:H18">
    <cfRule type="containsText" dxfId="50" priority="4" operator="containsText" text="Regression">
      <formula>NOT(ISERROR(SEARCH("Regression",H2)))</formula>
    </cfRule>
  </conditionalFormatting>
  <dataValidations count="3">
    <dataValidation type="list" allowBlank="1" showInputMessage="1" showErrorMessage="1" promptTitle="Test Type" prompt="Select New or Regression" sqref="H2:H18" xr:uid="{598CB7BB-46D8-3246-B542-10FC7D7D05EB}">
      <formula1>"New,Regression"</formula1>
    </dataValidation>
    <dataValidation type="list" allowBlank="1" showInputMessage="1" showErrorMessage="1" sqref="G20:G33" xr:uid="{D684F312-D7AE-9947-BEDE-7AA972D14AA1}">
      <formula1>"Pass,Fail"</formula1>
    </dataValidation>
    <dataValidation type="list" allowBlank="1" showInputMessage="1" showErrorMessage="1" promptTitle="Test Result" prompt="Select Pass, Fail, or Blocked" sqref="G2:G18" xr:uid="{84B412DB-3C96-7448-B81B-571976A29AB5}">
      <formula1>"Pass,Fail,Blocked"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8C912-82F4-504C-ACF1-0CA4A045F645}">
  <sheetPr>
    <tabColor rgb="FF00B0CA"/>
  </sheetPr>
  <dimension ref="A1:I16"/>
  <sheetViews>
    <sheetView topLeftCell="D5" zoomScale="134" workbookViewId="0">
      <selection activeCell="C3" sqref="C3"/>
    </sheetView>
  </sheetViews>
  <sheetFormatPr baseColWidth="10" defaultRowHeight="16"/>
  <cols>
    <col min="1" max="1" width="17.1640625" bestFit="1" customWidth="1"/>
    <col min="2" max="2" width="25" bestFit="1" customWidth="1"/>
    <col min="3" max="3" width="45.83203125" bestFit="1" customWidth="1"/>
    <col min="4" max="4" width="61.1640625" bestFit="1" customWidth="1"/>
    <col min="5" max="5" width="87.6640625" bestFit="1" customWidth="1"/>
    <col min="6" max="6" width="18" bestFit="1" customWidth="1"/>
    <col min="7" max="7" width="15.6640625" bestFit="1" customWidth="1"/>
    <col min="8" max="8" width="27" bestFit="1" customWidth="1"/>
    <col min="9" max="9" width="38.5" bestFit="1" customWidth="1"/>
  </cols>
  <sheetData>
    <row r="1" spans="1:9">
      <c r="A1" s="35" t="s">
        <v>0</v>
      </c>
      <c r="B1" s="35" t="s">
        <v>1</v>
      </c>
      <c r="C1" s="35" t="s">
        <v>2</v>
      </c>
      <c r="D1" s="35" t="s">
        <v>3</v>
      </c>
      <c r="E1" s="35" t="s">
        <v>4</v>
      </c>
      <c r="F1" s="35" t="s">
        <v>5</v>
      </c>
      <c r="G1" s="35" t="s">
        <v>6</v>
      </c>
      <c r="H1" s="35" t="s">
        <v>7</v>
      </c>
      <c r="I1" s="35" t="s">
        <v>8</v>
      </c>
    </row>
    <row r="2" spans="1:9" ht="126">
      <c r="A2" s="8" t="str">
        <f>"MI-"&amp;TEXT(ROW()-1,"000")</f>
        <v>MI-001</v>
      </c>
      <c r="B2" s="6" t="s">
        <v>192</v>
      </c>
      <c r="C2" s="6" t="s">
        <v>193</v>
      </c>
      <c r="D2" s="6" t="s">
        <v>194</v>
      </c>
      <c r="E2" s="6" t="s">
        <v>195</v>
      </c>
      <c r="F2" s="6"/>
      <c r="G2" s="8"/>
      <c r="H2" s="8" t="s">
        <v>55</v>
      </c>
      <c r="I2" s="6"/>
    </row>
    <row r="3" spans="1:9" ht="70">
      <c r="A3" s="9" t="str">
        <f>"MI-"&amp;TEXT(ROW()-1,"000")</f>
        <v>MI-002</v>
      </c>
      <c r="B3" s="7" t="s">
        <v>196</v>
      </c>
      <c r="C3" s="7" t="s">
        <v>197</v>
      </c>
      <c r="D3" s="7" t="s">
        <v>198</v>
      </c>
      <c r="E3" s="7" t="s">
        <v>199</v>
      </c>
      <c r="F3" s="7"/>
      <c r="G3" s="9"/>
      <c r="H3" s="9" t="s">
        <v>116</v>
      </c>
      <c r="I3" s="7"/>
    </row>
    <row r="4" spans="1:9" ht="56">
      <c r="A4" s="8" t="str">
        <f>"MI-"&amp;TEXT(ROW()-1,"000")</f>
        <v>MI-003</v>
      </c>
      <c r="B4" s="6" t="s">
        <v>92</v>
      </c>
      <c r="C4" s="6" t="s">
        <v>197</v>
      </c>
      <c r="D4" s="6" t="s">
        <v>200</v>
      </c>
      <c r="E4" s="6" t="s">
        <v>201</v>
      </c>
      <c r="F4" s="6"/>
      <c r="G4" s="8"/>
      <c r="H4" s="8" t="s">
        <v>116</v>
      </c>
      <c r="I4" s="6" t="s">
        <v>202</v>
      </c>
    </row>
    <row r="5" spans="1:9" ht="42">
      <c r="A5" s="9" t="str">
        <f>"MI-"&amp;TEXT(ROW()-1,"000")</f>
        <v>MI-004</v>
      </c>
      <c r="B5" s="7" t="s">
        <v>203</v>
      </c>
      <c r="C5" s="7" t="s">
        <v>197</v>
      </c>
      <c r="D5" s="7" t="s">
        <v>204</v>
      </c>
      <c r="E5" s="7" t="s">
        <v>205</v>
      </c>
      <c r="F5" s="7"/>
      <c r="G5" s="9"/>
      <c r="H5" s="9" t="s">
        <v>116</v>
      </c>
      <c r="I5" s="7"/>
    </row>
    <row r="6" spans="1:9" ht="70">
      <c r="A6" s="8" t="str">
        <f>"MI-"&amp;TEXT(ROW()-1,"000")</f>
        <v>MI-005</v>
      </c>
      <c r="B6" s="6" t="s">
        <v>206</v>
      </c>
      <c r="C6" s="6" t="s">
        <v>207</v>
      </c>
      <c r="D6" s="6" t="s">
        <v>208</v>
      </c>
      <c r="E6" s="6" t="s">
        <v>209</v>
      </c>
      <c r="F6" s="6"/>
      <c r="G6" s="8"/>
      <c r="H6" s="8" t="s">
        <v>55</v>
      </c>
      <c r="I6" s="6"/>
    </row>
    <row r="7" spans="1:9" ht="42">
      <c r="A7" s="9" t="str">
        <f>"MI-"&amp;TEXT(ROW()-1,"000")</f>
        <v>MI-006</v>
      </c>
      <c r="B7" s="7" t="s">
        <v>210</v>
      </c>
      <c r="C7" s="7" t="s">
        <v>211</v>
      </c>
      <c r="D7" s="7" t="s">
        <v>212</v>
      </c>
      <c r="E7" s="7" t="s">
        <v>213</v>
      </c>
      <c r="F7" s="7"/>
      <c r="G7" s="9"/>
      <c r="H7" s="9" t="s">
        <v>55</v>
      </c>
      <c r="I7" s="7"/>
    </row>
    <row r="8" spans="1:9" ht="84">
      <c r="A8" s="8" t="str">
        <f>"MI-"&amp;TEXT(ROW()-1,"000")</f>
        <v>MI-007</v>
      </c>
      <c r="B8" s="6" t="s">
        <v>214</v>
      </c>
      <c r="C8" s="6" t="s">
        <v>215</v>
      </c>
      <c r="D8" s="6" t="s">
        <v>216</v>
      </c>
      <c r="E8" s="6" t="s">
        <v>217</v>
      </c>
      <c r="F8" s="6"/>
      <c r="G8" s="8"/>
      <c r="H8" s="8" t="s">
        <v>55</v>
      </c>
      <c r="I8" s="6" t="s">
        <v>218</v>
      </c>
    </row>
    <row r="9" spans="1:9" ht="42">
      <c r="A9" s="9" t="str">
        <f>"MI-"&amp;TEXT(ROW()-1,"000")</f>
        <v>MI-008</v>
      </c>
      <c r="B9" s="7" t="s">
        <v>219</v>
      </c>
      <c r="C9" s="7" t="s">
        <v>220</v>
      </c>
      <c r="D9" s="7" t="s">
        <v>221</v>
      </c>
      <c r="E9" s="7" t="s">
        <v>222</v>
      </c>
      <c r="F9" s="7"/>
      <c r="G9" s="9"/>
      <c r="H9" s="9" t="s">
        <v>55</v>
      </c>
      <c r="I9" s="7" t="s">
        <v>223</v>
      </c>
    </row>
    <row r="10" spans="1:9" ht="70">
      <c r="A10" s="8" t="str">
        <f>"MI-"&amp;TEXT(ROW()-1,"000")</f>
        <v>MI-009</v>
      </c>
      <c r="B10" s="6" t="s">
        <v>224</v>
      </c>
      <c r="C10" s="6" t="s">
        <v>225</v>
      </c>
      <c r="D10" s="6" t="s">
        <v>226</v>
      </c>
      <c r="E10" s="6" t="s">
        <v>227</v>
      </c>
      <c r="F10" s="6"/>
      <c r="G10" s="8"/>
      <c r="H10" s="8" t="s">
        <v>55</v>
      </c>
      <c r="I10" s="6" t="s">
        <v>228</v>
      </c>
    </row>
    <row r="11" spans="1:9" ht="70">
      <c r="A11" s="9" t="str">
        <f>"MI-"&amp;TEXT(ROW()-1,"000")</f>
        <v>MI-010</v>
      </c>
      <c r="B11" s="7" t="s">
        <v>229</v>
      </c>
      <c r="C11" s="7" t="s">
        <v>230</v>
      </c>
      <c r="D11" s="7" t="s">
        <v>231</v>
      </c>
      <c r="E11" s="7" t="s">
        <v>232</v>
      </c>
      <c r="F11" s="7"/>
      <c r="G11" s="9"/>
      <c r="H11" s="9" t="s">
        <v>55</v>
      </c>
      <c r="I11" s="7" t="s">
        <v>233</v>
      </c>
    </row>
    <row r="12" spans="1:9" ht="42">
      <c r="A12" s="8" t="str">
        <f>"MI-"&amp;TEXT(ROW()-1,"000")</f>
        <v>MI-011</v>
      </c>
      <c r="B12" s="6" t="s">
        <v>234</v>
      </c>
      <c r="C12" s="6" t="s">
        <v>235</v>
      </c>
      <c r="D12" s="6" t="s">
        <v>236</v>
      </c>
      <c r="E12" s="6" t="s">
        <v>237</v>
      </c>
      <c r="F12" s="6"/>
      <c r="G12" s="8"/>
      <c r="H12" s="8" t="s">
        <v>55</v>
      </c>
      <c r="I12" s="6" t="s">
        <v>238</v>
      </c>
    </row>
    <row r="13" spans="1:9" ht="56">
      <c r="A13" s="9" t="str">
        <f>"MI-"&amp;TEXT(ROW()-1,"000")</f>
        <v>MI-012</v>
      </c>
      <c r="B13" s="7" t="s">
        <v>239</v>
      </c>
      <c r="C13" s="7" t="s">
        <v>240</v>
      </c>
      <c r="D13" s="7" t="s">
        <v>241</v>
      </c>
      <c r="E13" s="7" t="s">
        <v>242</v>
      </c>
      <c r="F13" s="7"/>
      <c r="G13" s="9"/>
      <c r="H13" s="9" t="s">
        <v>55</v>
      </c>
      <c r="I13" s="7"/>
    </row>
    <row r="14" spans="1:9" ht="56">
      <c r="A14" s="8" t="str">
        <f>"MI-"&amp;TEXT(ROW()-1,"000")</f>
        <v>MI-013</v>
      </c>
      <c r="B14" s="6" t="s">
        <v>243</v>
      </c>
      <c r="C14" s="6" t="s">
        <v>244</v>
      </c>
      <c r="D14" s="6" t="s">
        <v>245</v>
      </c>
      <c r="E14" s="6" t="s">
        <v>246</v>
      </c>
      <c r="F14" s="6"/>
      <c r="G14" s="8"/>
      <c r="H14" s="8" t="s">
        <v>116</v>
      </c>
      <c r="I14" s="6" t="s">
        <v>247</v>
      </c>
    </row>
    <row r="15" spans="1:9" ht="56">
      <c r="A15" s="9" t="str">
        <f>"MI-"&amp;TEXT(ROW()-1,"000")</f>
        <v>MI-014</v>
      </c>
      <c r="B15" s="7" t="s">
        <v>107</v>
      </c>
      <c r="C15" s="7" t="s">
        <v>248</v>
      </c>
      <c r="D15" s="7" t="s">
        <v>249</v>
      </c>
      <c r="E15" s="7" t="s">
        <v>250</v>
      </c>
      <c r="F15" s="7"/>
      <c r="G15" s="9"/>
      <c r="H15" s="9" t="s">
        <v>116</v>
      </c>
      <c r="I15" s="7"/>
    </row>
    <row r="16" spans="1:9">
      <c r="A16" s="36" t="s">
        <v>12</v>
      </c>
      <c r="B16" s="37"/>
      <c r="C16" s="37"/>
      <c r="D16" s="37"/>
      <c r="E16" s="37"/>
      <c r="F16" s="37"/>
      <c r="G16" s="36" t="str">
        <f>COUNTA(G2:G15)&amp;" of "&amp;COUNTA(A2:A15)&amp;" completed"</f>
        <v>0 of 14 completed</v>
      </c>
      <c r="H16" s="36"/>
      <c r="I16" s="37">
        <f>SUBTOTAL(103,MoreInfoTests[Notes / Questions])</f>
        <v>7</v>
      </c>
    </row>
  </sheetData>
  <conditionalFormatting sqref="G2:G15">
    <cfRule type="containsText" dxfId="49" priority="1" operator="containsText" text="Pass">
      <formula>NOT(ISERROR(SEARCH("Pass",G2)))</formula>
    </cfRule>
  </conditionalFormatting>
  <conditionalFormatting sqref="G2:G15">
    <cfRule type="containsText" dxfId="48" priority="2" operator="containsText" text="Fail">
      <formula>NOT(ISERROR(SEARCH("Fail",G2)))</formula>
    </cfRule>
  </conditionalFormatting>
  <conditionalFormatting sqref="H2:H15">
    <cfRule type="containsText" dxfId="47" priority="3" operator="containsText" text="New">
      <formula>NOT(ISERROR(SEARCH("New",H2)))</formula>
    </cfRule>
  </conditionalFormatting>
  <conditionalFormatting sqref="H2:H15">
    <cfRule type="containsText" dxfId="46" priority="4" operator="containsText" text="Regression">
      <formula>NOT(ISERROR(SEARCH("Regression",H2)))</formula>
    </cfRule>
  </conditionalFormatting>
  <dataValidations count="2">
    <dataValidation type="list" allowBlank="1" showInputMessage="1" showErrorMessage="1" promptTitle="Test Result" prompt="Select Pass, Fail, or Blocked" sqref="G2:G15" xr:uid="{F47DE5C9-282A-7D46-AF04-B9B8D0745314}">
      <formula1>"Pass,Fail,Blocked"</formula1>
    </dataValidation>
    <dataValidation type="list" allowBlank="1" showInputMessage="1" showErrorMessage="1" promptTitle="Test Type" prompt="Select New or Regression" sqref="H2:H15" xr:uid="{CD500985-A310-B14E-91B8-E7A60503AFAA}">
      <formula1>"New,Regression"</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5A0C8-AFCC-A549-8E6E-F61A835AD3C5}">
  <sheetPr>
    <tabColor rgb="FF00B0CA"/>
  </sheetPr>
  <dimension ref="A1:I12"/>
  <sheetViews>
    <sheetView workbookViewId="0">
      <selection activeCell="E32" sqref="E32"/>
    </sheetView>
  </sheetViews>
  <sheetFormatPr baseColWidth="10" defaultRowHeight="16"/>
  <cols>
    <col min="1" max="1" width="17.1640625" bestFit="1" customWidth="1"/>
    <col min="2" max="2" width="22.1640625" bestFit="1" customWidth="1"/>
    <col min="3" max="3" width="19.1640625" bestFit="1" customWidth="1"/>
    <col min="4" max="4" width="15.5" bestFit="1" customWidth="1"/>
    <col min="5" max="5" width="20.5" bestFit="1" customWidth="1"/>
    <col min="6" max="6" width="18" bestFit="1" customWidth="1"/>
    <col min="7" max="7" width="15.6640625" bestFit="1" customWidth="1"/>
    <col min="8" max="8" width="22" bestFit="1" customWidth="1"/>
    <col min="9" max="9" width="22.1640625" bestFit="1" customWidth="1"/>
  </cols>
  <sheetData>
    <row r="1" spans="1:9" ht="36" customHeight="1">
      <c r="A1" s="35" t="s">
        <v>0</v>
      </c>
      <c r="B1" s="35" t="s">
        <v>1</v>
      </c>
      <c r="C1" s="35" t="s">
        <v>2</v>
      </c>
      <c r="D1" s="35" t="s">
        <v>3</v>
      </c>
      <c r="E1" s="35" t="s">
        <v>4</v>
      </c>
      <c r="F1" s="35" t="s">
        <v>5</v>
      </c>
      <c r="G1" s="35" t="s">
        <v>6</v>
      </c>
      <c r="H1" s="35" t="s">
        <v>7</v>
      </c>
      <c r="I1" s="35" t="s">
        <v>8</v>
      </c>
    </row>
    <row r="2" spans="1:9" ht="30" customHeight="1">
      <c r="A2" s="8" t="str">
        <f>"CONF-"&amp;TEXT(ROW()-1,"000")</f>
        <v>CONF-001</v>
      </c>
      <c r="B2" s="6"/>
      <c r="C2" s="6"/>
      <c r="D2" s="6"/>
      <c r="E2" s="6"/>
      <c r="F2" s="6"/>
      <c r="G2" s="8"/>
      <c r="H2" s="8"/>
      <c r="I2" s="6"/>
    </row>
    <row r="3" spans="1:9" ht="30" customHeight="1">
      <c r="A3" s="9" t="str">
        <f>"CONF-"&amp;TEXT(ROW()-1,"000")</f>
        <v>CONF-002</v>
      </c>
      <c r="B3" s="7"/>
      <c r="C3" s="7"/>
      <c r="D3" s="7"/>
      <c r="E3" s="7"/>
      <c r="F3" s="7"/>
      <c r="G3" s="9"/>
      <c r="H3" s="9"/>
      <c r="I3" s="7"/>
    </row>
    <row r="4" spans="1:9" ht="30" customHeight="1">
      <c r="A4" s="8" t="str">
        <f>"CONF-"&amp;TEXT(ROW()-1,"000")</f>
        <v>CONF-003</v>
      </c>
      <c r="B4" s="6"/>
      <c r="C4" s="6"/>
      <c r="D4" s="6"/>
      <c r="E4" s="6"/>
      <c r="F4" s="6"/>
      <c r="G4" s="8"/>
      <c r="H4" s="8"/>
      <c r="I4" s="6"/>
    </row>
    <row r="5" spans="1:9" ht="30" customHeight="1">
      <c r="A5" s="9" t="str">
        <f>"CONF-"&amp;TEXT(ROW()-1,"000")</f>
        <v>CONF-004</v>
      </c>
      <c r="B5" s="7"/>
      <c r="C5" s="7"/>
      <c r="D5" s="7"/>
      <c r="E5" s="7"/>
      <c r="F5" s="7"/>
      <c r="G5" s="9"/>
      <c r="H5" s="9"/>
      <c r="I5" s="7"/>
    </row>
    <row r="6" spans="1:9" ht="30" customHeight="1">
      <c r="A6" s="8" t="str">
        <f>"CONF-"&amp;TEXT(ROW()-1,"000")</f>
        <v>CONF-005</v>
      </c>
      <c r="B6" s="6"/>
      <c r="C6" s="6"/>
      <c r="D6" s="6"/>
      <c r="E6" s="6"/>
      <c r="F6" s="6"/>
      <c r="G6" s="8"/>
      <c r="H6" s="8"/>
      <c r="I6" s="6"/>
    </row>
    <row r="7" spans="1:9" ht="30" customHeight="1">
      <c r="A7" s="9" t="str">
        <f>"CONF-"&amp;TEXT(ROW()-1,"000")</f>
        <v>CONF-006</v>
      </c>
      <c r="B7" s="7"/>
      <c r="C7" s="7"/>
      <c r="D7" s="7"/>
      <c r="E7" s="7"/>
      <c r="F7" s="7"/>
      <c r="G7" s="9"/>
      <c r="H7" s="9"/>
      <c r="I7" s="7"/>
    </row>
    <row r="8" spans="1:9" ht="30" customHeight="1">
      <c r="A8" s="8" t="str">
        <f>"CONF-"&amp;TEXT(ROW()-1,"000")</f>
        <v>CONF-007</v>
      </c>
      <c r="B8" s="6"/>
      <c r="C8" s="6"/>
      <c r="D8" s="6"/>
      <c r="E8" s="6"/>
      <c r="F8" s="6"/>
      <c r="G8" s="8"/>
      <c r="H8" s="8"/>
      <c r="I8" s="6"/>
    </row>
    <row r="9" spans="1:9" ht="30" customHeight="1">
      <c r="A9" s="9" t="str">
        <f>"CONF-"&amp;TEXT(ROW()-1,"000")</f>
        <v>CONF-008</v>
      </c>
      <c r="B9" s="7"/>
      <c r="C9" s="7"/>
      <c r="D9" s="7"/>
      <c r="E9" s="7"/>
      <c r="F9" s="7"/>
      <c r="G9" s="9"/>
      <c r="H9" s="9"/>
      <c r="I9" s="7"/>
    </row>
    <row r="10" spans="1:9" ht="30" customHeight="1">
      <c r="A10" s="8" t="str">
        <f>"CONF-"&amp;TEXT(ROW()-1,"000")</f>
        <v>CONF-009</v>
      </c>
      <c r="B10" s="6"/>
      <c r="C10" s="6"/>
      <c r="D10" s="6"/>
      <c r="E10" s="6"/>
      <c r="F10" s="6"/>
      <c r="G10" s="8"/>
      <c r="H10" s="8"/>
      <c r="I10" s="6"/>
    </row>
    <row r="11" spans="1:9" ht="30" customHeight="1">
      <c r="A11" s="9" t="str">
        <f>"CONF-"&amp;TEXT(ROW()-1,"000")</f>
        <v>CONF-010</v>
      </c>
      <c r="B11" s="7"/>
      <c r="C11" s="7"/>
      <c r="D11" s="7"/>
      <c r="E11" s="7"/>
      <c r="F11" s="7"/>
      <c r="G11" s="9"/>
      <c r="H11" s="9"/>
      <c r="I11" s="7"/>
    </row>
    <row r="12" spans="1:9">
      <c r="A12" s="36" t="s">
        <v>12</v>
      </c>
      <c r="B12" s="37"/>
      <c r="C12" s="37"/>
      <c r="D12" s="37"/>
      <c r="E12" s="37"/>
      <c r="F12" s="37"/>
      <c r="G12" s="36" t="str">
        <f>COUNTA(G2:G11)&amp;" of "&amp;COUNTA(A2:A11)&amp;" completed"</f>
        <v>0 of 10 completed</v>
      </c>
      <c r="H12" s="36"/>
      <c r="I12" s="37">
        <f>SUBTOTAL(103,ConferenceTests[Notes / Questions])</f>
        <v>0</v>
      </c>
    </row>
  </sheetData>
  <conditionalFormatting sqref="G2:G11">
    <cfRule type="containsText" dxfId="45" priority="1" operator="containsText" text="Pass">
      <formula>NOT(ISERROR(SEARCH("Pass",G2)))</formula>
    </cfRule>
  </conditionalFormatting>
  <conditionalFormatting sqref="G2:G11">
    <cfRule type="containsText" dxfId="44" priority="2" operator="containsText" text="Fail">
      <formula>NOT(ISERROR(SEARCH("Fail",G2)))</formula>
    </cfRule>
  </conditionalFormatting>
  <conditionalFormatting sqref="H2:H11">
    <cfRule type="containsText" dxfId="43" priority="3" operator="containsText" text="New">
      <formula>NOT(ISERROR(SEARCH("New",H2)))</formula>
    </cfRule>
  </conditionalFormatting>
  <conditionalFormatting sqref="H2:H11">
    <cfRule type="containsText" dxfId="42" priority="4" operator="containsText" text="Regression">
      <formula>NOT(ISERROR(SEARCH("Regression",H2)))</formula>
    </cfRule>
  </conditionalFormatting>
  <dataValidations count="2">
    <dataValidation type="list" allowBlank="1" showInputMessage="1" showErrorMessage="1" promptTitle="Test Result" prompt="Select Pass, Fail, or Blocked" sqref="G2:G11" xr:uid="{74D71C4F-6DAD-234A-8611-4E9E7DF4BD82}">
      <formula1>"Pass,Fail,Blocked"</formula1>
    </dataValidation>
    <dataValidation type="list" allowBlank="1" showInputMessage="1" showErrorMessage="1" promptTitle="Test Type" prompt="Select New or Regression" sqref="H2:H11" xr:uid="{6CD19FB5-B580-2E40-87CA-C12FAAA65626}">
      <formula1>"New,Regression"</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CBEED-D9E2-1B4E-8E84-A6302ADAAC07}">
  <sheetPr>
    <tabColor rgb="FF00B0CA"/>
  </sheetPr>
  <dimension ref="A1:I12"/>
  <sheetViews>
    <sheetView workbookViewId="0"/>
  </sheetViews>
  <sheetFormatPr baseColWidth="10" defaultRowHeight="16"/>
  <cols>
    <col min="1" max="1" width="17.1640625" bestFit="1" customWidth="1"/>
    <col min="2" max="2" width="22.1640625" bestFit="1" customWidth="1"/>
    <col min="3" max="3" width="19.1640625" bestFit="1" customWidth="1"/>
    <col min="4" max="4" width="15.5" bestFit="1" customWidth="1"/>
    <col min="5" max="5" width="20.5" bestFit="1" customWidth="1"/>
    <col min="6" max="6" width="18" bestFit="1" customWidth="1"/>
    <col min="7" max="7" width="15.6640625" bestFit="1" customWidth="1"/>
    <col min="8" max="8" width="22" bestFit="1" customWidth="1"/>
    <col min="9" max="9" width="22.1640625" bestFit="1" customWidth="1"/>
  </cols>
  <sheetData>
    <row r="1" spans="1:9" ht="36" customHeight="1">
      <c r="A1" s="35" t="s">
        <v>0</v>
      </c>
      <c r="B1" s="35" t="s">
        <v>1</v>
      </c>
      <c r="C1" s="35" t="s">
        <v>2</v>
      </c>
      <c r="D1" s="35" t="s">
        <v>3</v>
      </c>
      <c r="E1" s="35" t="s">
        <v>4</v>
      </c>
      <c r="F1" s="35" t="s">
        <v>5</v>
      </c>
      <c r="G1" s="35" t="s">
        <v>6</v>
      </c>
      <c r="H1" s="35" t="s">
        <v>7</v>
      </c>
      <c r="I1" s="35" t="s">
        <v>8</v>
      </c>
    </row>
    <row r="2" spans="1:9" ht="30" customHeight="1">
      <c r="A2" s="8" t="str">
        <f t="shared" ref="A2:A11" si="0">"CE-"&amp;TEXT(ROW()-1,"000")</f>
        <v>CE-001</v>
      </c>
      <c r="B2" s="6"/>
      <c r="C2" s="6"/>
      <c r="D2" s="6"/>
      <c r="E2" s="6"/>
      <c r="F2" s="6"/>
      <c r="G2" s="8"/>
      <c r="H2" s="8"/>
      <c r="I2" s="6"/>
    </row>
    <row r="3" spans="1:9" ht="30" customHeight="1">
      <c r="A3" s="9" t="str">
        <f>"CE-"&amp;TEXT(ROW()-1,"000")</f>
        <v>CE-002</v>
      </c>
      <c r="B3" s="7"/>
      <c r="C3" s="7"/>
      <c r="D3" s="7"/>
      <c r="E3" s="7"/>
      <c r="F3" s="7"/>
      <c r="G3" s="9"/>
      <c r="H3" s="9"/>
      <c r="I3" s="7"/>
    </row>
    <row r="4" spans="1:9" ht="30" customHeight="1">
      <c r="A4" s="8" t="str">
        <f>"CE-"&amp;TEXT(ROW()-1,"000")</f>
        <v>CE-003</v>
      </c>
      <c r="B4" s="6"/>
      <c r="C4" s="6"/>
      <c r="D4" s="6"/>
      <c r="E4" s="6"/>
      <c r="F4" s="6"/>
      <c r="G4" s="8"/>
      <c r="H4" s="8"/>
      <c r="I4" s="6"/>
    </row>
    <row r="5" spans="1:9" ht="30" customHeight="1">
      <c r="A5" s="9" t="str">
        <f>"CE-"&amp;TEXT(ROW()-1,"000")</f>
        <v>CE-004</v>
      </c>
      <c r="B5" s="7"/>
      <c r="C5" s="7"/>
      <c r="D5" s="7"/>
      <c r="E5" s="7"/>
      <c r="F5" s="7"/>
      <c r="G5" s="9"/>
      <c r="H5" s="9"/>
      <c r="I5" s="7"/>
    </row>
    <row r="6" spans="1:9" ht="30" customHeight="1">
      <c r="A6" s="8" t="str">
        <f>"CE-"&amp;TEXT(ROW()-1,"000")</f>
        <v>CE-005</v>
      </c>
      <c r="B6" s="6"/>
      <c r="C6" s="6"/>
      <c r="D6" s="6"/>
      <c r="E6" s="6"/>
      <c r="F6" s="6"/>
      <c r="G6" s="8"/>
      <c r="H6" s="8"/>
      <c r="I6" s="6"/>
    </row>
    <row r="7" spans="1:9" ht="30" customHeight="1">
      <c r="A7" s="9" t="str">
        <f>"CE-"&amp;TEXT(ROW()-1,"000")</f>
        <v>CE-006</v>
      </c>
      <c r="B7" s="7"/>
      <c r="C7" s="7"/>
      <c r="D7" s="7"/>
      <c r="E7" s="7"/>
      <c r="F7" s="7"/>
      <c r="G7" s="9"/>
      <c r="H7" s="9"/>
      <c r="I7" s="7"/>
    </row>
    <row r="8" spans="1:9" ht="30" customHeight="1">
      <c r="A8" s="8" t="str">
        <f>"CE-"&amp;TEXT(ROW()-1,"000")</f>
        <v>CE-007</v>
      </c>
      <c r="B8" s="6"/>
      <c r="C8" s="6"/>
      <c r="D8" s="6"/>
      <c r="E8" s="6"/>
      <c r="F8" s="6"/>
      <c r="G8" s="8"/>
      <c r="H8" s="8"/>
      <c r="I8" s="6"/>
    </row>
    <row r="9" spans="1:9" ht="30" customHeight="1">
      <c r="A9" s="9" t="str">
        <f>"CE-"&amp;TEXT(ROW()-1,"000")</f>
        <v>CE-008</v>
      </c>
      <c r="B9" s="7"/>
      <c r="C9" s="7"/>
      <c r="D9" s="7"/>
      <c r="E9" s="7"/>
      <c r="F9" s="7"/>
      <c r="G9" s="9"/>
      <c r="H9" s="9"/>
      <c r="I9" s="7"/>
    </row>
    <row r="10" spans="1:9" ht="30" customHeight="1">
      <c r="A10" s="8" t="str">
        <f>"CE-"&amp;TEXT(ROW()-1,"000")</f>
        <v>CE-009</v>
      </c>
      <c r="B10" s="6"/>
      <c r="C10" s="6"/>
      <c r="D10" s="6"/>
      <c r="E10" s="6"/>
      <c r="F10" s="6"/>
      <c r="G10" s="8"/>
      <c r="H10" s="8"/>
      <c r="I10" s="6"/>
    </row>
    <row r="11" spans="1:9" ht="30" customHeight="1">
      <c r="A11" s="9" t="str">
        <f>"CE-"&amp;TEXT(ROW()-1,"000")</f>
        <v>CE-010</v>
      </c>
      <c r="B11" s="7"/>
      <c r="C11" s="7"/>
      <c r="D11" s="7"/>
      <c r="E11" s="7"/>
      <c r="F11" s="7"/>
      <c r="G11" s="9"/>
      <c r="H11" s="9"/>
      <c r="I11" s="7"/>
    </row>
    <row r="12" spans="1:9">
      <c r="A12" s="36" t="s">
        <v>12</v>
      </c>
      <c r="B12" s="37"/>
      <c r="C12" s="37"/>
      <c r="D12" s="37"/>
      <c r="E12" s="37"/>
      <c r="F12" s="37"/>
      <c r="G12" s="36" t="str">
        <f>COUNTA(G2:G11)&amp;" of "&amp;COUNTA(A2:A11)&amp;" completed"</f>
        <v>0 of 10 completed</v>
      </c>
      <c r="H12" s="36"/>
      <c r="I12" s="37">
        <f>SUBTOTAL(103,ConferenceTests10[Notes / Questions])</f>
        <v>0</v>
      </c>
    </row>
  </sheetData>
  <conditionalFormatting sqref="G2:G11">
    <cfRule type="containsText" dxfId="41" priority="1" operator="containsText" text="Pass">
      <formula>NOT(ISERROR(SEARCH("Pass",G2)))</formula>
    </cfRule>
  </conditionalFormatting>
  <conditionalFormatting sqref="G2:G11">
    <cfRule type="containsText" dxfId="40" priority="2" operator="containsText" text="Fail">
      <formula>NOT(ISERROR(SEARCH("Fail",G2)))</formula>
    </cfRule>
  </conditionalFormatting>
  <conditionalFormatting sqref="H2:H11">
    <cfRule type="containsText" dxfId="39" priority="3" operator="containsText" text="New">
      <formula>NOT(ISERROR(SEARCH("New",H2)))</formula>
    </cfRule>
  </conditionalFormatting>
  <conditionalFormatting sqref="H2:H11">
    <cfRule type="containsText" dxfId="38" priority="4" operator="containsText" text="Regression">
      <formula>NOT(ISERROR(SEARCH("Regression",H2)))</formula>
    </cfRule>
  </conditionalFormatting>
  <dataValidations count="2">
    <dataValidation type="list" allowBlank="1" showInputMessage="1" showErrorMessage="1" promptTitle="Test Result" prompt="Select Pass, Fail, or Blocked" sqref="G2:G11" xr:uid="{FDD78635-B42E-8542-B61E-ACA89518C471}">
      <formula1>"Pass,Fail,Blocked"</formula1>
    </dataValidation>
    <dataValidation type="list" allowBlank="1" showInputMessage="1" showErrorMessage="1" promptTitle="Test Type" prompt="Select New or Regression" sqref="H2:H11" xr:uid="{90E8B8D0-DDBE-E147-95B2-1E8DE2AD55DE}">
      <formula1>"New,Regression"</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96CD-EFEF-D444-AB45-A941C1AD8C47}">
  <sheetPr>
    <tabColor rgb="FF00B0CA"/>
  </sheetPr>
  <dimension ref="A1:I12"/>
  <sheetViews>
    <sheetView workbookViewId="0">
      <selection sqref="A1:XFD1048576"/>
    </sheetView>
  </sheetViews>
  <sheetFormatPr baseColWidth="10" defaultRowHeight="16"/>
  <cols>
    <col min="1" max="1" width="17.1640625" bestFit="1" customWidth="1"/>
    <col min="2" max="2" width="22.1640625" bestFit="1" customWidth="1"/>
    <col min="3" max="3" width="19.1640625" bestFit="1" customWidth="1"/>
    <col min="4" max="4" width="15.5" bestFit="1" customWidth="1"/>
    <col min="5" max="5" width="20.5" bestFit="1" customWidth="1"/>
    <col min="6" max="6" width="18" bestFit="1" customWidth="1"/>
    <col min="7" max="7" width="15.6640625" bestFit="1" customWidth="1"/>
    <col min="8" max="8" width="22" bestFit="1" customWidth="1"/>
    <col min="9" max="9" width="22.1640625" bestFit="1" customWidth="1"/>
  </cols>
  <sheetData>
    <row r="1" spans="1:9" ht="36" customHeight="1">
      <c r="A1" s="35" t="s">
        <v>0</v>
      </c>
      <c r="B1" s="35" t="s">
        <v>1</v>
      </c>
      <c r="C1" s="35" t="s">
        <v>2</v>
      </c>
      <c r="D1" s="35" t="s">
        <v>3</v>
      </c>
      <c r="E1" s="35" t="s">
        <v>4</v>
      </c>
      <c r="F1" s="35" t="s">
        <v>5</v>
      </c>
      <c r="G1" s="35" t="s">
        <v>6</v>
      </c>
      <c r="H1" s="35" t="s">
        <v>7</v>
      </c>
      <c r="I1" s="35" t="s">
        <v>8</v>
      </c>
    </row>
    <row r="2" spans="1:9" ht="30" customHeight="1">
      <c r="A2" s="8" t="str">
        <f>"TS-"&amp;TEXT(ROW()-1,"000")</f>
        <v>TS-001</v>
      </c>
      <c r="B2" s="6"/>
      <c r="C2" s="6"/>
      <c r="D2" s="6"/>
      <c r="E2" s="6"/>
      <c r="F2" s="6"/>
      <c r="G2" s="8"/>
      <c r="H2" s="8"/>
      <c r="I2" s="6"/>
    </row>
    <row r="3" spans="1:9" ht="30" customHeight="1">
      <c r="A3" s="9" t="str">
        <f>"TS-"&amp;TEXT(ROW()-1,"000")</f>
        <v>TS-002</v>
      </c>
      <c r="B3" s="7"/>
      <c r="C3" s="7"/>
      <c r="D3" s="7"/>
      <c r="E3" s="7"/>
      <c r="F3" s="7"/>
      <c r="G3" s="9"/>
      <c r="H3" s="9"/>
      <c r="I3" s="7"/>
    </row>
    <row r="4" spans="1:9" ht="30" customHeight="1">
      <c r="A4" s="8" t="str">
        <f>"TS-"&amp;TEXT(ROW()-1,"000")</f>
        <v>TS-003</v>
      </c>
      <c r="B4" s="6"/>
      <c r="C4" s="6"/>
      <c r="D4" s="6"/>
      <c r="E4" s="6"/>
      <c r="F4" s="6"/>
      <c r="G4" s="8"/>
      <c r="H4" s="8"/>
      <c r="I4" s="6"/>
    </row>
    <row r="5" spans="1:9" ht="30" customHeight="1">
      <c r="A5" s="9" t="str">
        <f>"TS-"&amp;TEXT(ROW()-1,"000")</f>
        <v>TS-004</v>
      </c>
      <c r="B5" s="7"/>
      <c r="C5" s="7"/>
      <c r="D5" s="7"/>
      <c r="E5" s="7"/>
      <c r="F5" s="7"/>
      <c r="G5" s="9"/>
      <c r="H5" s="9"/>
      <c r="I5" s="7"/>
    </row>
    <row r="6" spans="1:9" ht="30" customHeight="1">
      <c r="A6" s="8" t="str">
        <f>"TS-"&amp;TEXT(ROW()-1,"000")</f>
        <v>TS-005</v>
      </c>
      <c r="B6" s="6"/>
      <c r="C6" s="6"/>
      <c r="D6" s="6"/>
      <c r="E6" s="6"/>
      <c r="F6" s="6"/>
      <c r="G6" s="8"/>
      <c r="H6" s="8"/>
      <c r="I6" s="6"/>
    </row>
    <row r="7" spans="1:9" ht="30" customHeight="1">
      <c r="A7" s="9" t="str">
        <f>"TS-"&amp;TEXT(ROW()-1,"000")</f>
        <v>TS-006</v>
      </c>
      <c r="B7" s="7"/>
      <c r="C7" s="7"/>
      <c r="D7" s="7"/>
      <c r="E7" s="7"/>
      <c r="F7" s="7"/>
      <c r="G7" s="9"/>
      <c r="H7" s="9"/>
      <c r="I7" s="7"/>
    </row>
    <row r="8" spans="1:9" ht="30" customHeight="1">
      <c r="A8" s="8" t="str">
        <f>"TS-"&amp;TEXT(ROW()-1,"000")</f>
        <v>TS-007</v>
      </c>
      <c r="B8" s="6"/>
      <c r="C8" s="6"/>
      <c r="D8" s="6"/>
      <c r="E8" s="6"/>
      <c r="F8" s="6"/>
      <c r="G8" s="8"/>
      <c r="H8" s="8"/>
      <c r="I8" s="6"/>
    </row>
    <row r="9" spans="1:9" ht="30" customHeight="1">
      <c r="A9" s="9" t="str">
        <f>"TS-"&amp;TEXT(ROW()-1,"000")</f>
        <v>TS-008</v>
      </c>
      <c r="B9" s="7"/>
      <c r="C9" s="7"/>
      <c r="D9" s="7"/>
      <c r="E9" s="7"/>
      <c r="F9" s="7"/>
      <c r="G9" s="9"/>
      <c r="H9" s="9"/>
      <c r="I9" s="7"/>
    </row>
    <row r="10" spans="1:9" ht="30" customHeight="1">
      <c r="A10" s="8" t="str">
        <f>"TS-"&amp;TEXT(ROW()-1,"000")</f>
        <v>TS-009</v>
      </c>
      <c r="B10" s="6"/>
      <c r="C10" s="6"/>
      <c r="D10" s="6"/>
      <c r="E10" s="6"/>
      <c r="F10" s="6"/>
      <c r="G10" s="8"/>
      <c r="H10" s="8"/>
      <c r="I10" s="6"/>
    </row>
    <row r="11" spans="1:9" ht="30" customHeight="1">
      <c r="A11" s="9" t="str">
        <f>"TS-"&amp;TEXT(ROW()-1,"000")</f>
        <v>TS-010</v>
      </c>
      <c r="B11" s="7"/>
      <c r="C11" s="7"/>
      <c r="D11" s="7"/>
      <c r="E11" s="7"/>
      <c r="F11" s="7"/>
      <c r="G11" s="9"/>
      <c r="H11" s="9"/>
      <c r="I11" s="7"/>
    </row>
    <row r="12" spans="1:9">
      <c r="A12" s="36" t="s">
        <v>12</v>
      </c>
      <c r="B12" s="37"/>
      <c r="C12" s="37"/>
      <c r="D12" s="37"/>
      <c r="E12" s="37"/>
      <c r="F12" s="37"/>
      <c r="G12" s="36" t="str">
        <f>COUNTA(G2:G11)&amp;" of "&amp;COUNTA(A2:A11)&amp;" completed"</f>
        <v>0 of 10 completed</v>
      </c>
      <c r="H12" s="36"/>
      <c r="I12" s="37">
        <f>SUBTOTAL(103,TeacherSeminarTests[Notes / Questions])</f>
        <v>0</v>
      </c>
    </row>
  </sheetData>
  <conditionalFormatting sqref="G2:G11">
    <cfRule type="containsText" dxfId="37" priority="1" operator="containsText" text="Pass">
      <formula>NOT(ISERROR(SEARCH("Pass",G2)))</formula>
    </cfRule>
  </conditionalFormatting>
  <conditionalFormatting sqref="G2:G11">
    <cfRule type="containsText" dxfId="36" priority="2" operator="containsText" text="Fail">
      <formula>NOT(ISERROR(SEARCH("Fail",G2)))</formula>
    </cfRule>
  </conditionalFormatting>
  <conditionalFormatting sqref="H2:H11">
    <cfRule type="containsText" dxfId="35" priority="3" operator="containsText" text="New">
      <formula>NOT(ISERROR(SEARCH("New",H2)))</formula>
    </cfRule>
  </conditionalFormatting>
  <conditionalFormatting sqref="H2:H11">
    <cfRule type="containsText" dxfId="34" priority="4" operator="containsText" text="Regression">
      <formula>NOT(ISERROR(SEARCH("Regression",H2)))</formula>
    </cfRule>
  </conditionalFormatting>
  <dataValidations count="2">
    <dataValidation type="list" allowBlank="1" showInputMessage="1" showErrorMessage="1" promptTitle="Test Result" prompt="Select Pass, Fail, or Blocked" sqref="G2:G11" xr:uid="{963CA8F7-4B9B-2749-8611-3D17839E4C95}">
      <formula1>"Pass,Fail,Blocked"</formula1>
    </dataValidation>
    <dataValidation type="list" allowBlank="1" showInputMessage="1" showErrorMessage="1" promptTitle="Test Type" prompt="Select New or Regression" sqref="H2:H11" xr:uid="{62BDB065-1AC5-B249-A6F8-EEAE8BA4CA6E}">
      <formula1>"New,Regression"</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78CA5-6C5A-9D45-8D19-4976BA4671C6}">
  <sheetPr>
    <tabColor rgb="FF00B0CA"/>
  </sheetPr>
  <dimension ref="A1:I12"/>
  <sheetViews>
    <sheetView workbookViewId="0">
      <selection sqref="A1:XFD1048576"/>
    </sheetView>
  </sheetViews>
  <sheetFormatPr baseColWidth="10" defaultRowHeight="16"/>
  <cols>
    <col min="1" max="1" width="17.1640625" bestFit="1" customWidth="1"/>
    <col min="2" max="2" width="22.1640625" bestFit="1" customWidth="1"/>
    <col min="3" max="3" width="19.1640625" bestFit="1" customWidth="1"/>
    <col min="4" max="4" width="15.5" bestFit="1" customWidth="1"/>
    <col min="5" max="5" width="20.5" bestFit="1" customWidth="1"/>
    <col min="6" max="6" width="18" bestFit="1" customWidth="1"/>
    <col min="7" max="7" width="15.6640625" bestFit="1" customWidth="1"/>
    <col min="8" max="8" width="22" bestFit="1" customWidth="1"/>
    <col min="9" max="9" width="22.1640625" bestFit="1" customWidth="1"/>
  </cols>
  <sheetData>
    <row r="1" spans="1:9" ht="36" customHeight="1">
      <c r="A1" s="35" t="s">
        <v>0</v>
      </c>
      <c r="B1" s="35" t="s">
        <v>1</v>
      </c>
      <c r="C1" s="35" t="s">
        <v>2</v>
      </c>
      <c r="D1" s="35" t="s">
        <v>3</v>
      </c>
      <c r="E1" s="35" t="s">
        <v>4</v>
      </c>
      <c r="F1" s="35" t="s">
        <v>5</v>
      </c>
      <c r="G1" s="35" t="s">
        <v>6</v>
      </c>
      <c r="H1" s="35" t="s">
        <v>7</v>
      </c>
      <c r="I1" s="35" t="s">
        <v>8</v>
      </c>
    </row>
    <row r="2" spans="1:9" ht="30" customHeight="1">
      <c r="A2" s="8" t="str">
        <f>"LI-"&amp;TEXT(ROW()-1,"000")</f>
        <v>LI-001</v>
      </c>
      <c r="B2" s="6"/>
      <c r="C2" s="6"/>
      <c r="D2" s="6"/>
      <c r="E2" s="6"/>
      <c r="F2" s="6"/>
      <c r="G2" s="8"/>
      <c r="H2" s="8"/>
      <c r="I2" s="6"/>
    </row>
    <row r="3" spans="1:9" ht="30" customHeight="1">
      <c r="A3" s="9" t="str">
        <f>"LI-"&amp;TEXT(ROW()-1,"000")</f>
        <v>LI-002</v>
      </c>
      <c r="B3" s="7"/>
      <c r="C3" s="7"/>
      <c r="D3" s="7"/>
      <c r="E3" s="7"/>
      <c r="F3" s="7"/>
      <c r="G3" s="9"/>
      <c r="H3" s="9"/>
      <c r="I3" s="7"/>
    </row>
    <row r="4" spans="1:9" ht="30" customHeight="1">
      <c r="A4" s="8" t="str">
        <f>"LI-"&amp;TEXT(ROW()-1,"000")</f>
        <v>LI-003</v>
      </c>
      <c r="B4" s="6"/>
      <c r="C4" s="6"/>
      <c r="D4" s="6"/>
      <c r="E4" s="6"/>
      <c r="F4" s="6"/>
      <c r="G4" s="8"/>
      <c r="H4" s="8"/>
      <c r="I4" s="6"/>
    </row>
    <row r="5" spans="1:9" ht="30" customHeight="1">
      <c r="A5" s="9" t="str">
        <f>"LI-"&amp;TEXT(ROW()-1,"000")</f>
        <v>LI-004</v>
      </c>
      <c r="B5" s="7"/>
      <c r="C5" s="7"/>
      <c r="D5" s="7"/>
      <c r="E5" s="7"/>
      <c r="F5" s="7"/>
      <c r="G5" s="9"/>
      <c r="H5" s="9"/>
      <c r="I5" s="7"/>
    </row>
    <row r="6" spans="1:9" ht="30" customHeight="1">
      <c r="A6" s="8" t="str">
        <f>"LI-"&amp;TEXT(ROW()-1,"000")</f>
        <v>LI-005</v>
      </c>
      <c r="B6" s="6"/>
      <c r="C6" s="6"/>
      <c r="D6" s="6"/>
      <c r="E6" s="6"/>
      <c r="F6" s="6"/>
      <c r="G6" s="8"/>
      <c r="H6" s="8"/>
      <c r="I6" s="6"/>
    </row>
    <row r="7" spans="1:9" ht="30" customHeight="1">
      <c r="A7" s="9" t="str">
        <f>"LI-"&amp;TEXT(ROW()-1,"000")</f>
        <v>LI-006</v>
      </c>
      <c r="B7" s="7"/>
      <c r="C7" s="7"/>
      <c r="D7" s="7"/>
      <c r="E7" s="7"/>
      <c r="F7" s="7"/>
      <c r="G7" s="9"/>
      <c r="H7" s="9"/>
      <c r="I7" s="7"/>
    </row>
    <row r="8" spans="1:9" ht="30" customHeight="1">
      <c r="A8" s="8" t="str">
        <f>"LI-"&amp;TEXT(ROW()-1,"000")</f>
        <v>LI-007</v>
      </c>
      <c r="B8" s="6"/>
      <c r="C8" s="6"/>
      <c r="D8" s="6"/>
      <c r="E8" s="6"/>
      <c r="F8" s="6"/>
      <c r="G8" s="8"/>
      <c r="H8" s="8"/>
      <c r="I8" s="6"/>
    </row>
    <row r="9" spans="1:9" ht="30" customHeight="1">
      <c r="A9" s="9" t="str">
        <f>"LI-"&amp;TEXT(ROW()-1,"000")</f>
        <v>LI-008</v>
      </c>
      <c r="B9" s="7"/>
      <c r="C9" s="7"/>
      <c r="D9" s="7"/>
      <c r="E9" s="7"/>
      <c r="F9" s="7"/>
      <c r="G9" s="9"/>
      <c r="H9" s="9"/>
      <c r="I9" s="7"/>
    </row>
    <row r="10" spans="1:9" ht="30" customHeight="1">
      <c r="A10" s="8" t="str">
        <f>"LI-"&amp;TEXT(ROW()-1,"000")</f>
        <v>LI-009</v>
      </c>
      <c r="B10" s="6"/>
      <c r="C10" s="6"/>
      <c r="D10" s="6"/>
      <c r="E10" s="6"/>
      <c r="F10" s="6"/>
      <c r="G10" s="8"/>
      <c r="H10" s="8"/>
      <c r="I10" s="6"/>
    </row>
    <row r="11" spans="1:9" ht="30" customHeight="1">
      <c r="A11" s="9" t="str">
        <f>"LI-"&amp;TEXT(ROW()-1,"000")</f>
        <v>LI-010</v>
      </c>
      <c r="B11" s="7"/>
      <c r="C11" s="7"/>
      <c r="D11" s="7"/>
      <c r="E11" s="7"/>
      <c r="F11" s="7"/>
      <c r="G11" s="9"/>
      <c r="H11" s="9"/>
      <c r="I11" s="7"/>
    </row>
    <row r="12" spans="1:9">
      <c r="A12" s="36" t="s">
        <v>12</v>
      </c>
      <c r="B12" s="37"/>
      <c r="C12" s="37"/>
      <c r="D12" s="37"/>
      <c r="E12" s="37"/>
      <c r="F12" s="37"/>
      <c r="G12" s="36" t="str">
        <f>COUNTA(G2:G11)&amp;" of "&amp;COUNTA(A2:A11)&amp;" completed"</f>
        <v>0 of 10 completed</v>
      </c>
      <c r="H12" s="36"/>
      <c r="I12" s="37">
        <f>SUBTOTAL(103,LiveInfoTests[Notes / Questions])</f>
        <v>0</v>
      </c>
    </row>
  </sheetData>
  <conditionalFormatting sqref="G2:G11">
    <cfRule type="containsText" dxfId="33" priority="1" operator="containsText" text="Pass">
      <formula>NOT(ISERROR(SEARCH("Pass",G2)))</formula>
    </cfRule>
  </conditionalFormatting>
  <conditionalFormatting sqref="G2:G11">
    <cfRule type="containsText" dxfId="32" priority="2" operator="containsText" text="Fail">
      <formula>NOT(ISERROR(SEARCH("Fail",G2)))</formula>
    </cfRule>
  </conditionalFormatting>
  <conditionalFormatting sqref="H2:H11">
    <cfRule type="containsText" dxfId="31" priority="3" operator="containsText" text="New">
      <formula>NOT(ISERROR(SEARCH("New",H2)))</formula>
    </cfRule>
  </conditionalFormatting>
  <conditionalFormatting sqref="H2:H11">
    <cfRule type="containsText" dxfId="30" priority="4" operator="containsText" text="Regression">
      <formula>NOT(ISERROR(SEARCH("Regression",H2)))</formula>
    </cfRule>
  </conditionalFormatting>
  <dataValidations count="2">
    <dataValidation type="list" allowBlank="1" showInputMessage="1" showErrorMessage="1" promptTitle="Test Result" prompt="Select Pass, Fail, or Blocked" sqref="G2:G11" xr:uid="{0D4C9323-10A0-F04A-B068-FAD6DAA4D8DE}">
      <formula1>"Pass,Fail,Blocked"</formula1>
    </dataValidation>
    <dataValidation type="list" allowBlank="1" showInputMessage="1" showErrorMessage="1" promptTitle="Test Type" prompt="Select New or Regression" sqref="H2:H11" xr:uid="{F7EECC9C-4D56-7E42-A1F1-376C3316890A}">
      <formula1>"New,Regression"</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0FB5F-D052-0D4C-B28F-F138B7EE8585}">
  <sheetPr>
    <tabColor rgb="FF8ED9E7"/>
  </sheetPr>
  <dimension ref="A1:L12"/>
  <sheetViews>
    <sheetView tabSelected="1" zoomScale="125" workbookViewId="0">
      <selection activeCell="D5" sqref="D5"/>
    </sheetView>
  </sheetViews>
  <sheetFormatPr baseColWidth="10" defaultRowHeight="16"/>
  <cols>
    <col min="1" max="1" width="17.1640625" bestFit="1" customWidth="1"/>
    <col min="2" max="2" width="23.1640625" bestFit="1" customWidth="1"/>
    <col min="3" max="3" width="51" bestFit="1" customWidth="1"/>
    <col min="4" max="4" width="30.33203125" customWidth="1"/>
    <col min="5" max="5" width="61" bestFit="1" customWidth="1"/>
    <col min="6" max="6" width="18" bestFit="1" customWidth="1"/>
    <col min="7" max="7" width="15.6640625" bestFit="1" customWidth="1"/>
    <col min="8" max="8" width="27" bestFit="1" customWidth="1"/>
    <col min="9" max="9" width="23.5" bestFit="1" customWidth="1"/>
  </cols>
  <sheetData>
    <row r="1" spans="1:12">
      <c r="A1" s="2" t="s">
        <v>0</v>
      </c>
      <c r="B1" s="2" t="s">
        <v>1</v>
      </c>
      <c r="C1" s="2" t="s">
        <v>2</v>
      </c>
      <c r="D1" s="2" t="s">
        <v>3</v>
      </c>
      <c r="E1" s="2" t="s">
        <v>4</v>
      </c>
      <c r="F1" s="2" t="s">
        <v>5</v>
      </c>
      <c r="G1" s="2" t="s">
        <v>6</v>
      </c>
      <c r="H1" s="2" t="s">
        <v>7</v>
      </c>
      <c r="I1" s="2" t="s">
        <v>8</v>
      </c>
    </row>
    <row r="2" spans="1:12" ht="70">
      <c r="A2" s="8" t="str">
        <f t="shared" ref="A2:A11" si="0">"XC01-"&amp;TEXT(ROW()-1,"000")</f>
        <v>XC01-001</v>
      </c>
      <c r="B2" s="6" t="s">
        <v>166</v>
      </c>
      <c r="C2" s="6" t="s">
        <v>167</v>
      </c>
      <c r="D2" s="6" t="s">
        <v>168</v>
      </c>
      <c r="E2" s="6" t="s">
        <v>169</v>
      </c>
      <c r="F2" s="6"/>
      <c r="G2" s="8"/>
      <c r="H2" s="8" t="s">
        <v>55</v>
      </c>
      <c r="I2" s="6"/>
    </row>
    <row r="3" spans="1:12" ht="98">
      <c r="A3" s="9" t="str">
        <f>"XC01-"&amp;TEXT(ROW()-1,"000")</f>
        <v>XC01-002</v>
      </c>
      <c r="B3" s="7" t="s">
        <v>170</v>
      </c>
      <c r="C3" s="7" t="s">
        <v>171</v>
      </c>
      <c r="D3" s="7" t="s">
        <v>172</v>
      </c>
      <c r="E3" s="7" t="s">
        <v>173</v>
      </c>
      <c r="F3" s="7"/>
      <c r="G3" s="9"/>
      <c r="H3" s="9" t="s">
        <v>55</v>
      </c>
      <c r="I3" s="7"/>
      <c r="L3" s="1"/>
    </row>
    <row r="4" spans="1:12" ht="84">
      <c r="A4" s="8" t="str">
        <f>"XC01-"&amp;TEXT(ROW()-1,"000")</f>
        <v>XC01-003</v>
      </c>
      <c r="B4" s="6" t="s">
        <v>174</v>
      </c>
      <c r="C4" s="6" t="s">
        <v>175</v>
      </c>
      <c r="D4" s="6" t="s">
        <v>176</v>
      </c>
      <c r="E4" s="6" t="s">
        <v>177</v>
      </c>
      <c r="F4" s="6"/>
      <c r="G4" s="8"/>
      <c r="H4" s="8" t="s">
        <v>55</v>
      </c>
      <c r="I4" s="6"/>
      <c r="L4" s="1"/>
    </row>
    <row r="5" spans="1:12" ht="84">
      <c r="A5" s="9" t="str">
        <f>"XC01-"&amp;TEXT(ROW()-1,"000")</f>
        <v>XC01-004</v>
      </c>
      <c r="B5" s="7" t="s">
        <v>178</v>
      </c>
      <c r="C5" s="7" t="s">
        <v>179</v>
      </c>
      <c r="D5" s="7" t="s">
        <v>180</v>
      </c>
      <c r="E5" s="7" t="s">
        <v>181</v>
      </c>
      <c r="F5" s="7"/>
      <c r="G5" s="9"/>
      <c r="H5" s="9" t="s">
        <v>55</v>
      </c>
      <c r="I5" s="7"/>
      <c r="L5" s="1"/>
    </row>
    <row r="6" spans="1:12" ht="98">
      <c r="A6" s="8" t="str">
        <f>"XC01-"&amp;TEXT(ROW()-1,"000")</f>
        <v>XC01-005</v>
      </c>
      <c r="B6" s="6" t="s">
        <v>151</v>
      </c>
      <c r="C6" s="6" t="s">
        <v>182</v>
      </c>
      <c r="D6" s="6" t="s">
        <v>152</v>
      </c>
      <c r="E6" s="6" t="s">
        <v>153</v>
      </c>
      <c r="F6" s="6"/>
      <c r="G6" s="8"/>
      <c r="H6" s="8" t="s">
        <v>55</v>
      </c>
      <c r="I6" s="6"/>
    </row>
    <row r="7" spans="1:12" ht="98">
      <c r="A7" s="9" t="str">
        <f>"XC01-"&amp;TEXT(ROW()-1,"000")</f>
        <v>XC01-006</v>
      </c>
      <c r="B7" s="7" t="s">
        <v>154</v>
      </c>
      <c r="C7" s="7" t="s">
        <v>183</v>
      </c>
      <c r="D7" s="7" t="s">
        <v>155</v>
      </c>
      <c r="E7" s="7" t="s">
        <v>156</v>
      </c>
      <c r="F7" s="7"/>
      <c r="G7" s="9"/>
      <c r="H7" s="9" t="s">
        <v>55</v>
      </c>
      <c r="I7" s="7"/>
    </row>
    <row r="8" spans="1:12" ht="70">
      <c r="A8" s="8" t="str">
        <f>"XC01-"&amp;TEXT(ROW()-1,"000")</f>
        <v>XC01-007</v>
      </c>
      <c r="B8" s="6" t="s">
        <v>184</v>
      </c>
      <c r="C8" s="6" t="s">
        <v>185</v>
      </c>
      <c r="D8" s="6" t="s">
        <v>157</v>
      </c>
      <c r="E8" s="6" t="s">
        <v>158</v>
      </c>
      <c r="F8" s="6"/>
      <c r="G8" s="8"/>
      <c r="H8" s="8" t="s">
        <v>55</v>
      </c>
      <c r="I8" s="6"/>
    </row>
    <row r="9" spans="1:12" ht="70">
      <c r="A9" s="9" t="str">
        <f>"XC01-"&amp;TEXT(ROW()-1,"000")</f>
        <v>XC01-008</v>
      </c>
      <c r="B9" s="7" t="s">
        <v>159</v>
      </c>
      <c r="C9" s="7" t="s">
        <v>186</v>
      </c>
      <c r="D9" s="7" t="s">
        <v>187</v>
      </c>
      <c r="E9" s="7" t="s">
        <v>160</v>
      </c>
      <c r="F9" s="7"/>
      <c r="G9" s="9"/>
      <c r="H9" s="9" t="s">
        <v>55</v>
      </c>
      <c r="I9" s="7"/>
    </row>
    <row r="10" spans="1:12" ht="70">
      <c r="A10" s="8" t="str">
        <f>"XC01-"&amp;TEXT(ROW()-1,"000")</f>
        <v>XC01-009</v>
      </c>
      <c r="B10" s="6" t="s">
        <v>161</v>
      </c>
      <c r="C10" s="6" t="s">
        <v>188</v>
      </c>
      <c r="D10" s="6" t="s">
        <v>189</v>
      </c>
      <c r="E10" s="6" t="s">
        <v>162</v>
      </c>
      <c r="F10" s="6"/>
      <c r="G10" s="8"/>
      <c r="H10" s="8" t="s">
        <v>55</v>
      </c>
      <c r="I10" s="6"/>
    </row>
    <row r="11" spans="1:12" ht="70">
      <c r="A11" s="9" t="str">
        <f>"XC01-"&amp;TEXT(ROW()-1,"000")</f>
        <v>XC01-010</v>
      </c>
      <c r="B11" s="7" t="s">
        <v>163</v>
      </c>
      <c r="C11" s="7" t="s">
        <v>190</v>
      </c>
      <c r="D11" s="7" t="s">
        <v>164</v>
      </c>
      <c r="E11" s="7" t="s">
        <v>165</v>
      </c>
      <c r="F11" s="7"/>
      <c r="G11" s="9"/>
      <c r="H11" s="9" t="s">
        <v>55</v>
      </c>
      <c r="I11" s="7"/>
    </row>
    <row r="12" spans="1:12">
      <c r="A12" s="5" t="s">
        <v>12</v>
      </c>
      <c r="B12" s="5"/>
      <c r="C12" s="5"/>
      <c r="D12" s="5"/>
      <c r="E12" s="5"/>
      <c r="F12" s="5"/>
      <c r="G12" s="5" t="str">
        <f>COUNTA(G2:G11)&amp;" of "&amp;COUNTA(A2:A11)&amp;" completed"</f>
        <v>0 of 10 completed</v>
      </c>
      <c r="H12" s="5"/>
      <c r="I12" s="5">
        <f>SUBTOTAL(103,EnquiryTests3[Notes / Questions])</f>
        <v>0</v>
      </c>
    </row>
  </sheetData>
  <conditionalFormatting sqref="G2:G11">
    <cfRule type="containsText" dxfId="29" priority="1" operator="containsText" text="Pass">
      <formula>NOT(ISERROR(SEARCH("Pass",G2)))</formula>
    </cfRule>
  </conditionalFormatting>
  <conditionalFormatting sqref="G2:G11">
    <cfRule type="containsText" dxfId="28" priority="2" operator="containsText" text="Fail">
      <formula>NOT(ISERROR(SEARCH("Fail",G2)))</formula>
    </cfRule>
  </conditionalFormatting>
  <conditionalFormatting sqref="H2:H11">
    <cfRule type="containsText" dxfId="27" priority="3" operator="containsText" text="New">
      <formula>NOT(ISERROR(SEARCH("New",H2)))</formula>
    </cfRule>
  </conditionalFormatting>
  <conditionalFormatting sqref="H2:H11">
    <cfRule type="containsText" dxfId="26" priority="4" operator="containsText" text="Regression">
      <formula>NOT(ISERROR(SEARCH("Regression",H2)))</formula>
    </cfRule>
  </conditionalFormatting>
  <dataValidations count="3">
    <dataValidation type="list" allowBlank="1" showInputMessage="1" showErrorMessage="1" sqref="G13:G26" xr:uid="{3A005F0E-1D9C-0547-83A1-077BC1CA666E}">
      <formula1>"Pass,Fail"</formula1>
    </dataValidation>
    <dataValidation type="list" allowBlank="1" showInputMessage="1" showErrorMessage="1" promptTitle="Test Type" prompt="Select New or Regression" sqref="H2:H11" xr:uid="{AC49FB1A-2C2C-884D-A39B-0C2DEF9084C1}">
      <formula1>"New,Regression"</formula1>
    </dataValidation>
    <dataValidation type="list" allowBlank="1" showInputMessage="1" showErrorMessage="1" promptTitle="Test Result" prompt="Select Pass, Fail, or Blocked" sqref="G2:G11" xr:uid="{2D06F87F-EE81-7546-804C-B2FAAAF6CF22}">
      <formula1>"Pass,Fail,Blocked"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2C49-B596-3744-9E7F-C246DBF92C0F}">
  <sheetPr>
    <tabColor rgb="FF8ED9E7"/>
  </sheetPr>
  <dimension ref="A1:L12"/>
  <sheetViews>
    <sheetView zoomScale="125" workbookViewId="0">
      <selection activeCell="H30" sqref="H30"/>
    </sheetView>
  </sheetViews>
  <sheetFormatPr baseColWidth="10" defaultRowHeight="16"/>
  <cols>
    <col min="1" max="1" width="17.1640625" bestFit="1" customWidth="1"/>
    <col min="2" max="2" width="22.1640625" bestFit="1" customWidth="1"/>
    <col min="3" max="3" width="19.1640625" bestFit="1" customWidth="1"/>
    <col min="4" max="4" width="15.5" bestFit="1" customWidth="1"/>
    <col min="5" max="5" width="20.5" bestFit="1" customWidth="1"/>
    <col min="6" max="6" width="18" bestFit="1" customWidth="1"/>
    <col min="7" max="7" width="15.6640625" bestFit="1" customWidth="1"/>
    <col min="8" max="8" width="27" bestFit="1" customWidth="1"/>
    <col min="9" max="9" width="22.1640625" bestFit="1" customWidth="1"/>
  </cols>
  <sheetData>
    <row r="1" spans="1:12" ht="36" customHeight="1">
      <c r="A1" s="2" t="s">
        <v>0</v>
      </c>
      <c r="B1" s="2" t="s">
        <v>1</v>
      </c>
      <c r="C1" s="2" t="s">
        <v>2</v>
      </c>
      <c r="D1" s="2" t="s">
        <v>3</v>
      </c>
      <c r="E1" s="2" t="s">
        <v>4</v>
      </c>
      <c r="F1" s="2" t="s">
        <v>5</v>
      </c>
      <c r="G1" s="2" t="s">
        <v>6</v>
      </c>
      <c r="H1" s="2" t="s">
        <v>7</v>
      </c>
      <c r="I1" s="2" t="s">
        <v>8</v>
      </c>
    </row>
    <row r="2" spans="1:12" ht="30" customHeight="1">
      <c r="A2" s="8" t="str">
        <f t="shared" ref="A2:A11" si="0">"XC02-"&amp;TEXT(ROW()-1,"000")</f>
        <v>XC02-001</v>
      </c>
      <c r="B2" s="6"/>
      <c r="C2" s="6"/>
      <c r="D2" s="6"/>
      <c r="E2" s="6"/>
      <c r="F2" s="6"/>
      <c r="G2" s="8"/>
      <c r="H2" s="8"/>
      <c r="I2" s="6"/>
    </row>
    <row r="3" spans="1:12" ht="30" customHeight="1">
      <c r="A3" s="9" t="str">
        <f>"XC02-"&amp;TEXT(ROW()-1,"000")</f>
        <v>XC02-002</v>
      </c>
      <c r="B3" s="7"/>
      <c r="C3" s="7"/>
      <c r="D3" s="7"/>
      <c r="E3" s="7"/>
      <c r="F3" s="7"/>
      <c r="G3" s="9"/>
      <c r="H3" s="9"/>
      <c r="I3" s="7"/>
      <c r="L3" s="1"/>
    </row>
    <row r="4" spans="1:12" ht="30" customHeight="1">
      <c r="A4" s="8" t="str">
        <f>"XC02-"&amp;TEXT(ROW()-1,"000")</f>
        <v>XC02-003</v>
      </c>
      <c r="B4" s="6"/>
      <c r="C4" s="6"/>
      <c r="D4" s="6"/>
      <c r="E4" s="6"/>
      <c r="F4" s="6"/>
      <c r="G4" s="8"/>
      <c r="H4" s="8"/>
      <c r="I4" s="6"/>
      <c r="L4" s="1"/>
    </row>
    <row r="5" spans="1:12" ht="30" customHeight="1">
      <c r="A5" s="9" t="str">
        <f>"XC02-"&amp;TEXT(ROW()-1,"000")</f>
        <v>XC02-004</v>
      </c>
      <c r="B5" s="7"/>
      <c r="C5" s="7"/>
      <c r="D5" s="7"/>
      <c r="E5" s="7"/>
      <c r="F5" s="7"/>
      <c r="G5" s="9"/>
      <c r="H5" s="9"/>
      <c r="I5" s="7"/>
      <c r="L5" s="1"/>
    </row>
    <row r="6" spans="1:12" ht="30" customHeight="1">
      <c r="A6" s="8" t="str">
        <f>"XC02-"&amp;TEXT(ROW()-1,"000")</f>
        <v>XC02-005</v>
      </c>
      <c r="B6" s="6"/>
      <c r="C6" s="6"/>
      <c r="D6" s="6"/>
      <c r="E6" s="6"/>
      <c r="F6" s="6"/>
      <c r="G6" s="8"/>
      <c r="H6" s="8"/>
      <c r="I6" s="6"/>
    </row>
    <row r="7" spans="1:12" ht="30" customHeight="1">
      <c r="A7" s="9" t="str">
        <f>"XC02-"&amp;TEXT(ROW()-1,"000")</f>
        <v>XC02-006</v>
      </c>
      <c r="B7" s="7"/>
      <c r="C7" s="7"/>
      <c r="D7" s="7"/>
      <c r="E7" s="7"/>
      <c r="F7" s="7"/>
      <c r="G7" s="9"/>
      <c r="H7" s="9"/>
      <c r="I7" s="7"/>
    </row>
    <row r="8" spans="1:12" ht="30" customHeight="1">
      <c r="A8" s="8" t="str">
        <f>"XC02-"&amp;TEXT(ROW()-1,"000")</f>
        <v>XC02-007</v>
      </c>
      <c r="B8" s="6"/>
      <c r="C8" s="6"/>
      <c r="D8" s="6"/>
      <c r="E8" s="6"/>
      <c r="F8" s="6"/>
      <c r="G8" s="8"/>
      <c r="H8" s="8"/>
      <c r="I8" s="6"/>
    </row>
    <row r="9" spans="1:12" ht="30" customHeight="1">
      <c r="A9" s="9" t="str">
        <f>"XC02-"&amp;TEXT(ROW()-1,"000")</f>
        <v>XC02-008</v>
      </c>
      <c r="B9" s="7"/>
      <c r="C9" s="7"/>
      <c r="D9" s="7"/>
      <c r="E9" s="7"/>
      <c r="F9" s="7"/>
      <c r="G9" s="9"/>
      <c r="H9" s="9"/>
      <c r="I9" s="7"/>
    </row>
    <row r="10" spans="1:12" ht="30" customHeight="1">
      <c r="A10" s="8" t="str">
        <f>"XC02-"&amp;TEXT(ROW()-1,"000")</f>
        <v>XC02-009</v>
      </c>
      <c r="B10" s="6"/>
      <c r="C10" s="6"/>
      <c r="D10" s="6"/>
      <c r="E10" s="6"/>
      <c r="F10" s="6"/>
      <c r="G10" s="8"/>
      <c r="H10" s="8"/>
      <c r="I10" s="6"/>
    </row>
    <row r="11" spans="1:12" ht="30" customHeight="1">
      <c r="A11" s="9" t="str">
        <f>"XC02-"&amp;TEXT(ROW()-1,"000")</f>
        <v>XC02-010</v>
      </c>
      <c r="B11" s="7"/>
      <c r="C11" s="7"/>
      <c r="D11" s="7"/>
      <c r="E11" s="7"/>
      <c r="F11" s="7"/>
      <c r="G11" s="9"/>
      <c r="H11" s="9"/>
      <c r="I11" s="7"/>
    </row>
    <row r="12" spans="1:12">
      <c r="A12" s="5" t="s">
        <v>12</v>
      </c>
      <c r="B12" s="5"/>
      <c r="C12" s="5"/>
      <c r="D12" s="5"/>
      <c r="E12" s="5"/>
      <c r="F12" s="5"/>
      <c r="G12" s="5" t="str">
        <f>COUNTA(G2:G11)&amp;" of "&amp;COUNTA(A2:A11)&amp;" completed"</f>
        <v>0 of 10 completed</v>
      </c>
      <c r="H12" s="5"/>
      <c r="I12" s="5">
        <f>SUBTOTAL(103,EnquiryTests4[Notes / Questions])</f>
        <v>0</v>
      </c>
    </row>
  </sheetData>
  <conditionalFormatting sqref="G2:G11">
    <cfRule type="containsText" dxfId="25" priority="1" operator="containsText" text="Pass">
      <formula>NOT(ISERROR(SEARCH("Pass",G2)))</formula>
    </cfRule>
  </conditionalFormatting>
  <conditionalFormatting sqref="G2:G11">
    <cfRule type="containsText" dxfId="24" priority="2" operator="containsText" text="Fail">
      <formula>NOT(ISERROR(SEARCH("Fail",G2)))</formula>
    </cfRule>
  </conditionalFormatting>
  <conditionalFormatting sqref="H2:H11">
    <cfRule type="containsText" dxfId="23" priority="3" operator="containsText" text="New">
      <formula>NOT(ISERROR(SEARCH("New",H2)))</formula>
    </cfRule>
  </conditionalFormatting>
  <conditionalFormatting sqref="H2:H11">
    <cfRule type="containsText" dxfId="22" priority="4" operator="containsText" text="Regression">
      <formula>NOT(ISERROR(SEARCH("Regression",H2)))</formula>
    </cfRule>
  </conditionalFormatting>
  <dataValidations count="3">
    <dataValidation type="list" allowBlank="1" showInputMessage="1" showErrorMessage="1" sqref="G13:G26" xr:uid="{47A64DD8-EDB6-3B4E-A4E2-C87EC4CCF0BF}">
      <formula1>"Pass,Fail"</formula1>
    </dataValidation>
    <dataValidation type="list" allowBlank="1" showInputMessage="1" showErrorMessage="1" promptTitle="Test Type" prompt="Select New or Regression" sqref="H2:H11" xr:uid="{26E7F642-0D7E-FE4F-9B78-06568C12C69D}">
      <formula1>"New,Regression"</formula1>
    </dataValidation>
    <dataValidation type="list" allowBlank="1" showInputMessage="1" showErrorMessage="1" promptTitle="Test Result" prompt="Select Pass, Fail, or Blocked" sqref="G2:G11" xr:uid="{1BCC5267-5729-3E42-9ADA-E78B79278E68}">
      <formula1>"Pass,Fail,Blocked"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TC-01 Bulk Upload</vt:lpstr>
      <vt:lpstr>TC-02 Enquiry</vt:lpstr>
      <vt:lpstr>TC-03 More Info</vt:lpstr>
      <vt:lpstr>TC-04 Conference</vt:lpstr>
      <vt:lpstr>TC-05 Conference Enquiry</vt:lpstr>
      <vt:lpstr>TC-06 Teacher Seminar</vt:lpstr>
      <vt:lpstr>TC-07 Live Info</vt:lpstr>
      <vt:lpstr>XC-01 Enquiry Prospect Flow</vt:lpstr>
      <vt:lpstr>XC-02 Lead 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Newmarch</dc:creator>
  <cp:lastModifiedBy>Ian Newmarch</cp:lastModifiedBy>
  <dcterms:created xsi:type="dcterms:W3CDTF">2026-03-23T01:06:11Z</dcterms:created>
  <dcterms:modified xsi:type="dcterms:W3CDTF">2026-03-25T01:53:18Z</dcterms:modified>
</cp:coreProperties>
</file>